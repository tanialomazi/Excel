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223.xml" ContentType="application/vnd.ms-excel.controlproperties+xml"/>
  <Override PartName="/xl/slicers/slicer1.xml" ContentType="application/vnd.ms-excel.slicer+xml"/>
  <Override PartName="/xl/drawings/drawing5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showInkAnnotation="0" updateLinks="never"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Github\Excel e VBA\"/>
    </mc:Choice>
  </mc:AlternateContent>
  <xr:revisionPtr revIDLastSave="0" documentId="13_ncr:1_{02AC92B9-44E9-4771-BD64-077A3163C288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Início" sheetId="7" r:id="rId1"/>
    <sheet name="Ficha de Visita" sheetId="1" state="hidden" r:id="rId2"/>
    <sheet name="Listas" sheetId="3" state="hidden" r:id="rId3"/>
    <sheet name="Registros" sheetId="5" state="hidden" r:id="rId4"/>
    <sheet name="Arquivos" sheetId="10" state="hidden" r:id="rId5"/>
    <sheet name="Ficha de Visita - Edição" sheetId="13" state="hidden" r:id="rId6"/>
  </sheets>
  <externalReferences>
    <externalReference r:id="rId7"/>
    <externalReference r:id="rId8"/>
    <externalReference r:id="rId9"/>
    <externalReference r:id="rId10"/>
  </externalReferences>
  <definedNames>
    <definedName name="_xlnm._FilterDatabase" localSheetId="3" hidden="1">'Registros'!$A$1:$DA$15</definedName>
    <definedName name="SegmentaçãodeDados_Ano">#N/A</definedName>
    <definedName name="SegmentaçãodeDados_Código_Nome">#N/A</definedName>
    <definedName name="SegmentaçãodeDados_Mês">#N/A</definedName>
  </definedNames>
  <calcPr calcId="191029"/>
  <pivotCaches>
    <pivotCache cacheId="0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B46" i="5" l="1"/>
  <c r="DC46" i="5"/>
  <c r="DD46" i="5"/>
  <c r="DB45" i="5"/>
  <c r="DC45" i="5"/>
  <c r="DD45" i="5"/>
  <c r="DB44" i="5"/>
  <c r="DC44" i="5"/>
  <c r="DD44" i="5"/>
  <c r="I9" i="1"/>
  <c r="DB4" i="5"/>
  <c r="DC4" i="5"/>
  <c r="DD4" i="5"/>
  <c r="DB5" i="5"/>
  <c r="DC5" i="5"/>
  <c r="DD5" i="5"/>
  <c r="DB6" i="5"/>
  <c r="DC6" i="5"/>
  <c r="DD6" i="5"/>
  <c r="DB7" i="5"/>
  <c r="DC7" i="5"/>
  <c r="DD7" i="5"/>
  <c r="DB8" i="5"/>
  <c r="DC8" i="5"/>
  <c r="DD8" i="5"/>
  <c r="DB9" i="5"/>
  <c r="DC9" i="5"/>
  <c r="DD9" i="5"/>
  <c r="DB10" i="5"/>
  <c r="DC10" i="5"/>
  <c r="DD10" i="5"/>
  <c r="DB11" i="5"/>
  <c r="DC11" i="5"/>
  <c r="DD11" i="5"/>
  <c r="DB12" i="5"/>
  <c r="DC12" i="5"/>
  <c r="DD12" i="5"/>
  <c r="DB13" i="5"/>
  <c r="DC13" i="5"/>
  <c r="DD13" i="5"/>
  <c r="DB14" i="5"/>
  <c r="DC14" i="5"/>
  <c r="DD14" i="5"/>
  <c r="DB15" i="5"/>
  <c r="DC15" i="5"/>
  <c r="DD15" i="5"/>
  <c r="DB16" i="5"/>
  <c r="DC16" i="5"/>
  <c r="DD16" i="5"/>
  <c r="DB17" i="5"/>
  <c r="DC17" i="5"/>
  <c r="DD17" i="5"/>
  <c r="DB18" i="5"/>
  <c r="DC18" i="5"/>
  <c r="DD18" i="5"/>
  <c r="DB19" i="5"/>
  <c r="DC19" i="5"/>
  <c r="DD19" i="5"/>
  <c r="DB20" i="5"/>
  <c r="DC20" i="5"/>
  <c r="DD20" i="5"/>
  <c r="DB21" i="5"/>
  <c r="DC21" i="5"/>
  <c r="DD21" i="5"/>
  <c r="DB22" i="5"/>
  <c r="DC22" i="5"/>
  <c r="DD22" i="5"/>
  <c r="DB23" i="5"/>
  <c r="DC23" i="5"/>
  <c r="DD23" i="5"/>
  <c r="DB24" i="5"/>
  <c r="DC24" i="5"/>
  <c r="DD24" i="5"/>
  <c r="DB25" i="5"/>
  <c r="DC25" i="5"/>
  <c r="DD25" i="5"/>
  <c r="DB26" i="5"/>
  <c r="DC26" i="5"/>
  <c r="DD26" i="5"/>
  <c r="DB27" i="5"/>
  <c r="DC27" i="5"/>
  <c r="DD27" i="5"/>
  <c r="DB28" i="5"/>
  <c r="DC28" i="5"/>
  <c r="DD28" i="5"/>
  <c r="DB29" i="5"/>
  <c r="DC29" i="5"/>
  <c r="DD29" i="5"/>
  <c r="DB30" i="5"/>
  <c r="DC30" i="5"/>
  <c r="DD30" i="5"/>
  <c r="DB31" i="5"/>
  <c r="DC31" i="5"/>
  <c r="DD31" i="5"/>
  <c r="DB32" i="5"/>
  <c r="DC32" i="5"/>
  <c r="DD32" i="5"/>
  <c r="DB33" i="5"/>
  <c r="DC33" i="5"/>
  <c r="DD33" i="5"/>
  <c r="DB34" i="5"/>
  <c r="DC34" i="5"/>
  <c r="DD34" i="5"/>
  <c r="DB35" i="5"/>
  <c r="DC35" i="5"/>
  <c r="DD35" i="5"/>
  <c r="DB36" i="5"/>
  <c r="DC36" i="5"/>
  <c r="DD36" i="5"/>
  <c r="DB37" i="5"/>
  <c r="DC37" i="5"/>
  <c r="DD37" i="5"/>
  <c r="DB38" i="5"/>
  <c r="DC38" i="5"/>
  <c r="DD38" i="5"/>
  <c r="DB39" i="5"/>
  <c r="DC39" i="5"/>
  <c r="DD39" i="5"/>
  <c r="DB40" i="5"/>
  <c r="DC40" i="5"/>
  <c r="DD40" i="5"/>
  <c r="DB41" i="5"/>
  <c r="DC41" i="5"/>
  <c r="DD41" i="5"/>
  <c r="DB42" i="5"/>
  <c r="DC42" i="5"/>
  <c r="DD42" i="5"/>
  <c r="DB43" i="5"/>
  <c r="DC43" i="5"/>
  <c r="DD43" i="5"/>
  <c r="DB3" i="5"/>
  <c r="DC3" i="5"/>
  <c r="DD3" i="5"/>
  <c r="DC1" i="5" l="1"/>
  <c r="DD1" i="5"/>
  <c r="DB1" i="5"/>
  <c r="G54" i="13" l="1"/>
  <c r="G53" i="13"/>
  <c r="G52" i="13"/>
  <c r="G51" i="13"/>
  <c r="G50" i="13"/>
  <c r="G49" i="13"/>
  <c r="K28" i="13"/>
  <c r="K27" i="13"/>
  <c r="H24" i="13"/>
  <c r="G24" i="13"/>
  <c r="K24" i="13" s="1"/>
  <c r="K20" i="13"/>
  <c r="K19" i="13"/>
  <c r="K18" i="13"/>
  <c r="K15" i="13"/>
  <c r="K11" i="13"/>
  <c r="L8" i="13"/>
  <c r="I9" i="13" s="1"/>
  <c r="L7" i="13"/>
  <c r="L6" i="13"/>
  <c r="G6" i="13"/>
  <c r="G12" i="1" l="1"/>
  <c r="K49" i="1" l="1"/>
  <c r="K39" i="1" l="1"/>
  <c r="K38" i="1"/>
  <c r="K30" i="1"/>
  <c r="K31" i="1"/>
  <c r="K29" i="1"/>
  <c r="K26" i="1"/>
  <c r="K22" i="1"/>
  <c r="G13" i="1"/>
  <c r="G14" i="1"/>
  <c r="G15" i="1"/>
  <c r="G16" i="1"/>
  <c r="G17" i="1"/>
  <c r="G6" i="1" l="1"/>
  <c r="L6" i="1"/>
  <c r="G35" i="1"/>
  <c r="K35" i="1" s="1"/>
  <c r="H35" i="1" l="1"/>
  <c r="L8" i="1" l="1"/>
  <c r="L7" i="1"/>
  <c r="I2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Tania Cristina Holmo M Lomazi </author>
  </authors>
  <commentList>
    <comment ref="DB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Tania Cristina Holmo M Lomazi :
</t>
        </r>
        <r>
          <rPr>
            <sz val="9"/>
            <color indexed="81"/>
            <rFont val="Tahoma"/>
            <family val="2"/>
          </rPr>
          <t>Colunas em amarelo não são utilizandas nas macros, apensa nas tabelas dinâmicas</t>
        </r>
      </text>
    </comment>
  </commentList>
</comments>
</file>

<file path=xl/sharedStrings.xml><?xml version="1.0" encoding="utf-8"?>
<sst xmlns="http://schemas.openxmlformats.org/spreadsheetml/2006/main" count="1034" uniqueCount="363">
  <si>
    <t>Ficha de Visita - Estações de Monitoramento Automático</t>
  </si>
  <si>
    <t>Data:</t>
  </si>
  <si>
    <t>Parâmetros</t>
  </si>
  <si>
    <t>Temperatura (°C)</t>
  </si>
  <si>
    <t xml:space="preserve">pH </t>
  </si>
  <si>
    <t>Oxigênio Dissolvido (mg/L)</t>
  </si>
  <si>
    <t>Turbidez (NTU)</t>
  </si>
  <si>
    <t>Termômetro Calibrado RBC</t>
  </si>
  <si>
    <t>Valor do Padrão</t>
  </si>
  <si>
    <t>Leitura da Sonda</t>
  </si>
  <si>
    <t>Desvio (%)</t>
  </si>
  <si>
    <t>Leitura no Ar</t>
  </si>
  <si>
    <t>Temp (°C)</t>
  </si>
  <si>
    <t>Pressão (mmHg)</t>
  </si>
  <si>
    <t xml:space="preserve"> (mg/L)</t>
  </si>
  <si>
    <t>(%)</t>
  </si>
  <si>
    <t>Valores Padrão</t>
  </si>
  <si>
    <t>pH</t>
  </si>
  <si>
    <t>Oxigênio Dissolvido</t>
  </si>
  <si>
    <t>Slope</t>
  </si>
  <si>
    <r>
      <t xml:space="preserve">Critério de Calibração:                                               </t>
    </r>
    <r>
      <rPr>
        <sz val="11"/>
        <color theme="1"/>
        <rFont val="Calibri"/>
        <family val="2"/>
      </rPr>
      <t>± 0,5 NTU ou ± 5%</t>
    </r>
  </si>
  <si>
    <t>Comentários</t>
  </si>
  <si>
    <r>
      <t xml:space="preserve">Critério de Calibração: </t>
    </r>
    <r>
      <rPr>
        <sz val="11"/>
        <color theme="1"/>
        <rFont val="Calibri"/>
        <family val="2"/>
      </rPr>
      <t>± 5% para ≤</t>
    </r>
    <r>
      <rPr>
        <sz val="11"/>
        <color theme="1"/>
        <rFont val="Calibri"/>
        <family val="2"/>
        <scheme val="minor"/>
      </rPr>
      <t xml:space="preserve"> 100 uS/cm ou</t>
    </r>
    <r>
      <rPr>
        <sz val="11"/>
        <color theme="1"/>
        <rFont val="Calibri"/>
        <family val="2"/>
      </rPr>
      <t xml:space="preserve">  ± 3% para ≥</t>
    </r>
    <r>
      <rPr>
        <sz val="11"/>
        <color theme="1"/>
        <rFont val="Calibri"/>
        <family val="2"/>
        <scheme val="minor"/>
      </rPr>
      <t xml:space="preserve"> 100 uS/cm</t>
    </r>
  </si>
  <si>
    <t>Condutividade (µS/cm)</t>
  </si>
  <si>
    <r>
      <t xml:space="preserve">Critério de Calibração:                                                                 </t>
    </r>
    <r>
      <rPr>
        <sz val="11"/>
        <color theme="1"/>
        <rFont val="Calibri"/>
        <family val="2"/>
      </rPr>
      <t>± 5% ou ± 0,3 mg/L</t>
    </r>
  </si>
  <si>
    <t>Data da Preparação do Padrão</t>
  </si>
  <si>
    <t>mV/pH</t>
  </si>
  <si>
    <r>
      <t xml:space="preserve">Critério de Calibração: </t>
    </r>
    <r>
      <rPr>
        <sz val="11"/>
        <color theme="1"/>
        <rFont val="Calibri"/>
        <family val="2"/>
      </rPr>
      <t>± 0,2  mV/pH ≥ 53                                   mV/pH ≤ 60</t>
    </r>
  </si>
  <si>
    <t>Constante (k)</t>
  </si>
  <si>
    <t>Referência</t>
  </si>
  <si>
    <t>Estação</t>
  </si>
  <si>
    <t>Número Série da Sonda</t>
  </si>
  <si>
    <t>Número de Série</t>
  </si>
  <si>
    <t>Substituído</t>
  </si>
  <si>
    <t>Calibrado</t>
  </si>
  <si>
    <r>
      <t xml:space="preserve">Desvio permitido: </t>
    </r>
    <r>
      <rPr>
        <sz val="11"/>
        <color theme="1"/>
        <rFont val="Calibri"/>
        <family val="2"/>
      </rPr>
      <t>± 1% ou  ± 0,2 °C</t>
    </r>
  </si>
  <si>
    <t xml:space="preserve">Código da Estação: </t>
  </si>
  <si>
    <t xml:space="preserve">Técnicos: </t>
  </si>
  <si>
    <t>Código</t>
  </si>
  <si>
    <t>Nome da Estação</t>
  </si>
  <si>
    <t>Patrimônio</t>
  </si>
  <si>
    <t>Nº  Série</t>
  </si>
  <si>
    <t/>
  </si>
  <si>
    <t>17E 101273</t>
  </si>
  <si>
    <t>17E 101274</t>
  </si>
  <si>
    <t>17H 101019</t>
  </si>
  <si>
    <t>17H 103742</t>
  </si>
  <si>
    <t>17H 103743</t>
  </si>
  <si>
    <t>17H 103749</t>
  </si>
  <si>
    <t>18A 101902</t>
  </si>
  <si>
    <t>18A 101903</t>
  </si>
  <si>
    <t>18A 101906</t>
  </si>
  <si>
    <t>Registro</t>
  </si>
  <si>
    <t>Nome</t>
  </si>
  <si>
    <t>Valter</t>
  </si>
  <si>
    <t>Tânia</t>
  </si>
  <si>
    <t>Renato</t>
  </si>
  <si>
    <t>Edimar</t>
  </si>
  <si>
    <t>EF04</t>
  </si>
  <si>
    <t>/</t>
  </si>
  <si>
    <t xml:space="preserve">Bateria Sonda Estação: </t>
  </si>
  <si>
    <t>mV</t>
  </si>
  <si>
    <t>Outro:</t>
  </si>
  <si>
    <t>Hora:</t>
  </si>
  <si>
    <t>Lista Binária</t>
  </si>
  <si>
    <t>Sim</t>
  </si>
  <si>
    <t>Não</t>
  </si>
  <si>
    <t>Sonda Substituída:</t>
  </si>
  <si>
    <t>Número de Série Sonda Instalada:</t>
  </si>
  <si>
    <t>Bateria substituída:</t>
  </si>
  <si>
    <t>teste</t>
  </si>
  <si>
    <t>Sensor OD</t>
  </si>
  <si>
    <t>Sensor Turbidez</t>
  </si>
  <si>
    <t>Sensor Cond/Temp</t>
  </si>
  <si>
    <t>Sensor pH</t>
  </si>
  <si>
    <t>Sensor Clorofila</t>
  </si>
  <si>
    <t>Limpador Central</t>
  </si>
  <si>
    <t xml:space="preserve">Arquivo </t>
  </si>
  <si>
    <t xml:space="preserve">Código da Estação </t>
  </si>
  <si>
    <t>Técnico1</t>
  </si>
  <si>
    <t>Técnico2</t>
  </si>
  <si>
    <t>Hora de Chegada</t>
  </si>
  <si>
    <t>Hora de Verificação</t>
  </si>
  <si>
    <t>TempRef</t>
  </si>
  <si>
    <t>TempEst</t>
  </si>
  <si>
    <t>pHRef</t>
  </si>
  <si>
    <t>pHEst</t>
  </si>
  <si>
    <t>pHDesvio</t>
  </si>
  <si>
    <t>TempDesvio</t>
  </si>
  <si>
    <t>ODRef</t>
  </si>
  <si>
    <t>ODEst</t>
  </si>
  <si>
    <t>ODDesvio</t>
  </si>
  <si>
    <t>CondRef</t>
  </si>
  <si>
    <t>CondEst</t>
  </si>
  <si>
    <t>CondDesvio</t>
  </si>
  <si>
    <t>TurbRef</t>
  </si>
  <si>
    <t>TurbEst</t>
  </si>
  <si>
    <t>TurbDesvio</t>
  </si>
  <si>
    <t>OutroRef</t>
  </si>
  <si>
    <t>OutroEst</t>
  </si>
  <si>
    <t>OutroDesvio</t>
  </si>
  <si>
    <t>SérieSondaRef</t>
  </si>
  <si>
    <t>SérieSondaEst</t>
  </si>
  <si>
    <t>BateriaSondaEst</t>
  </si>
  <si>
    <t>HoraCalibração</t>
  </si>
  <si>
    <t>TempRef2</t>
  </si>
  <si>
    <t>TempEst2</t>
  </si>
  <si>
    <t>TempDesvio2</t>
  </si>
  <si>
    <t>pHRef2</t>
  </si>
  <si>
    <t>pHEst2</t>
  </si>
  <si>
    <t>pHDesvio2</t>
  </si>
  <si>
    <t>pHRef3</t>
  </si>
  <si>
    <t>pHEst3</t>
  </si>
  <si>
    <t>pHDesvio3</t>
  </si>
  <si>
    <t>pHRef4</t>
  </si>
  <si>
    <t>pHEst4</t>
  </si>
  <si>
    <t>pHDesvio4</t>
  </si>
  <si>
    <t>pHTemp2</t>
  </si>
  <si>
    <t>pHTemp3</t>
  </si>
  <si>
    <t>pHTemp4</t>
  </si>
  <si>
    <t>pHmV2</t>
  </si>
  <si>
    <t>pHmV3</t>
  </si>
  <si>
    <t>pHmV4</t>
  </si>
  <si>
    <t>pHSlope2</t>
  </si>
  <si>
    <t>pHSlope3</t>
  </si>
  <si>
    <t>pHSlope4</t>
  </si>
  <si>
    <t>Arquivo:</t>
  </si>
  <si>
    <t>VERIFICAÇÃO DA CALIBRAÇÃO</t>
  </si>
  <si>
    <t>VERIFICAÇÃO DA SONDA</t>
  </si>
  <si>
    <t>CondRef2</t>
  </si>
  <si>
    <t>CondEst2</t>
  </si>
  <si>
    <t>ConstanteK</t>
  </si>
  <si>
    <t>LeituraAr</t>
  </si>
  <si>
    <t>CondDesvio2</t>
  </si>
  <si>
    <t>ODTemp</t>
  </si>
  <si>
    <t>ODPressao</t>
  </si>
  <si>
    <t>ODRefmg</t>
  </si>
  <si>
    <t>ODRef%</t>
  </si>
  <si>
    <t>ODEstmg</t>
  </si>
  <si>
    <t>ODEst%</t>
  </si>
  <si>
    <t>ODDesvio2</t>
  </si>
  <si>
    <t>DataTurb1</t>
  </si>
  <si>
    <t>DataTurb2</t>
  </si>
  <si>
    <t>TurbRef2</t>
  </si>
  <si>
    <t>TurbRef3</t>
  </si>
  <si>
    <t>TurbEst2</t>
  </si>
  <si>
    <t>TurbEst3</t>
  </si>
  <si>
    <t>TurbDesvio2</t>
  </si>
  <si>
    <t>TurbDesvio3</t>
  </si>
  <si>
    <t>SondaSubstituida</t>
  </si>
  <si>
    <t>SérieSondaInstalada</t>
  </si>
  <si>
    <t>TempSubstituido</t>
  </si>
  <si>
    <t>pHSubstuido</t>
  </si>
  <si>
    <t>ODSubstuido</t>
  </si>
  <si>
    <t>CondSubstuido</t>
  </si>
  <si>
    <t>TurbSubstuido</t>
  </si>
  <si>
    <t>OutroSubstuido</t>
  </si>
  <si>
    <t>BateriaSubstuido</t>
  </si>
  <si>
    <t>TempCalibrado</t>
  </si>
  <si>
    <t>pHCalibrado</t>
  </si>
  <si>
    <t>ODCalibrado</t>
  </si>
  <si>
    <t>CondCalibrado</t>
  </si>
  <si>
    <t>TurbCalibrado</t>
  </si>
  <si>
    <t>OutroCalibrado</t>
  </si>
  <si>
    <t>Comentario2</t>
  </si>
  <si>
    <t>pHRetir</t>
  </si>
  <si>
    <t>pHInst</t>
  </si>
  <si>
    <t>ODRetir</t>
  </si>
  <si>
    <t>ODInst</t>
  </si>
  <si>
    <t>TurbRetir</t>
  </si>
  <si>
    <t>TurbInst</t>
  </si>
  <si>
    <t>OutroRetir</t>
  </si>
  <si>
    <t>OutroInst</t>
  </si>
  <si>
    <t>Comentario1</t>
  </si>
  <si>
    <t>DataCalibração</t>
  </si>
  <si>
    <t>DataVerificação</t>
  </si>
  <si>
    <t>TEST</t>
  </si>
  <si>
    <t>NALSKCNAQ</t>
  </si>
  <si>
    <t>TempRetir</t>
  </si>
  <si>
    <t>TempInst</t>
  </si>
  <si>
    <t>CondRetir</t>
  </si>
  <si>
    <t>CondInst</t>
  </si>
  <si>
    <t>Valor:</t>
  </si>
  <si>
    <t>%</t>
  </si>
  <si>
    <t>Técnico</t>
  </si>
  <si>
    <t>Nome da Estação:</t>
  </si>
  <si>
    <t>Último Arquivo da Estação:</t>
  </si>
  <si>
    <t>CALIBRAÇÃO</t>
  </si>
  <si>
    <t>OutroSensor</t>
  </si>
  <si>
    <t>N° Coluna =&gt;</t>
  </si>
  <si>
    <t>OutroSensor1</t>
  </si>
  <si>
    <t>Houve necessudade de substituição do módulo de pH</t>
  </si>
  <si>
    <t>Sonda reprogramada para gravar, sem ser calibrada.</t>
  </si>
  <si>
    <t>Trocar membrana de OD na próxima visita. Há pequenos defeitos na membrana atual, que não impedema leitura confiável.</t>
  </si>
  <si>
    <t>Membrana de OD substituída, pois estava riscada.</t>
  </si>
  <si>
    <t>17M100966</t>
  </si>
  <si>
    <t>19D100091</t>
  </si>
  <si>
    <t>Clorofila (ug/L)</t>
  </si>
  <si>
    <t>Técnico3</t>
  </si>
  <si>
    <t>Mês</t>
  </si>
  <si>
    <t>Ano</t>
  </si>
  <si>
    <t>Código+Nome</t>
  </si>
  <si>
    <t xml:space="preserve">Data de Calibração </t>
  </si>
  <si>
    <t>Data de Verificação</t>
  </si>
  <si>
    <t xml:space="preserve">Sonda foi substituída. </t>
  </si>
  <si>
    <t xml:space="preserve">Verificar dados de pH até dia 17/07/2019. </t>
  </si>
  <si>
    <t>Comporta fechada para manutenção na escada de peixe.</t>
  </si>
  <si>
    <t>pH estava com o Cap e Sonda foi substituída (procedimento antigo)</t>
  </si>
  <si>
    <t xml:space="preserve">Há macrófitas ao redor do cesto: solicitar retirada. </t>
  </si>
  <si>
    <t>17G 102429</t>
  </si>
  <si>
    <t>19D 100088</t>
  </si>
  <si>
    <t>Membrana de OD substituída.</t>
  </si>
  <si>
    <t>Neste dia foi realizada vistoria com Eng. Luciano da Clean para modernização da estação.</t>
  </si>
  <si>
    <t>Clorofila</t>
  </si>
  <si>
    <t>Ficha preenchida no escritório</t>
  </si>
  <si>
    <t xml:space="preserve">Sonda trocada, pois sensor de turbidez não aceitou calibração, mesmo após substituição do sensor por outro. Além do mais, a sonda gravou mais de um arquivo, portanto pode apresentar erro interno. </t>
  </si>
  <si>
    <t>Ficha inicial</t>
  </si>
  <si>
    <t>Cesto envolto com muito galho e lixo.</t>
  </si>
  <si>
    <t>PAT001</t>
  </si>
  <si>
    <t>PAT002</t>
  </si>
  <si>
    <t>PAT003</t>
  </si>
  <si>
    <t>PAT004</t>
  </si>
  <si>
    <t>PAT005</t>
  </si>
  <si>
    <t>PAT006</t>
  </si>
  <si>
    <t>PAT007</t>
  </si>
  <si>
    <t>PAT008</t>
  </si>
  <si>
    <t>PAT009</t>
  </si>
  <si>
    <t>PAT010</t>
  </si>
  <si>
    <t>PAT011</t>
  </si>
  <si>
    <t>PAT012</t>
  </si>
  <si>
    <t>PAT013</t>
  </si>
  <si>
    <t>PAT014</t>
  </si>
  <si>
    <t>PAT015</t>
  </si>
  <si>
    <t>PAT016</t>
  </si>
  <si>
    <t>PAT017</t>
  </si>
  <si>
    <t>PAT018</t>
  </si>
  <si>
    <t>PAT019</t>
  </si>
  <si>
    <t>PAT020</t>
  </si>
  <si>
    <t>PAT021</t>
  </si>
  <si>
    <t>PAT022</t>
  </si>
  <si>
    <t>PAT023</t>
  </si>
  <si>
    <t>PAT024</t>
  </si>
  <si>
    <t>PAT025</t>
  </si>
  <si>
    <t>PAT026</t>
  </si>
  <si>
    <t>PAT027</t>
  </si>
  <si>
    <t>PAT028</t>
  </si>
  <si>
    <t>PAT029</t>
  </si>
  <si>
    <t>PAT030</t>
  </si>
  <si>
    <t>PAT031</t>
  </si>
  <si>
    <t>PAT032</t>
  </si>
  <si>
    <t>PAT033</t>
  </si>
  <si>
    <t>PAT034</t>
  </si>
  <si>
    <t>PAT035</t>
  </si>
  <si>
    <t>PAT036</t>
  </si>
  <si>
    <t>PAT037</t>
  </si>
  <si>
    <t>PAT038</t>
  </si>
  <si>
    <t>PAT039</t>
  </si>
  <si>
    <t>PAT040</t>
  </si>
  <si>
    <t>PAT041</t>
  </si>
  <si>
    <t>PAT042</t>
  </si>
  <si>
    <t>PAT043</t>
  </si>
  <si>
    <t>PAT044</t>
  </si>
  <si>
    <t>PAT045</t>
  </si>
  <si>
    <t>PAT046</t>
  </si>
  <si>
    <t>PAT047</t>
  </si>
  <si>
    <t>PAT048</t>
  </si>
  <si>
    <t>NS001</t>
  </si>
  <si>
    <t>NS002</t>
  </si>
  <si>
    <t>NS003</t>
  </si>
  <si>
    <t>NS004</t>
  </si>
  <si>
    <t>NS005</t>
  </si>
  <si>
    <t>NS006</t>
  </si>
  <si>
    <t>NS007</t>
  </si>
  <si>
    <t>NS008</t>
  </si>
  <si>
    <t>NS009</t>
  </si>
  <si>
    <t>NS010</t>
  </si>
  <si>
    <t>NS011</t>
  </si>
  <si>
    <t>NS012</t>
  </si>
  <si>
    <t>NS013</t>
  </si>
  <si>
    <t>NS014</t>
  </si>
  <si>
    <t>NS015</t>
  </si>
  <si>
    <t>NS016</t>
  </si>
  <si>
    <t>NS017</t>
  </si>
  <si>
    <t>NS018</t>
  </si>
  <si>
    <t>NS019</t>
  </si>
  <si>
    <t>NS020</t>
  </si>
  <si>
    <t>NS021</t>
  </si>
  <si>
    <t>NS022</t>
  </si>
  <si>
    <t>NS023</t>
  </si>
  <si>
    <t>NS024</t>
  </si>
  <si>
    <t>NS025</t>
  </si>
  <si>
    <t>NS026</t>
  </si>
  <si>
    <t>NS027</t>
  </si>
  <si>
    <t>NS028</t>
  </si>
  <si>
    <t>NS029</t>
  </si>
  <si>
    <t>NS030</t>
  </si>
  <si>
    <t>NS031</t>
  </si>
  <si>
    <t>NS032</t>
  </si>
  <si>
    <t>NS033</t>
  </si>
  <si>
    <t>NS034</t>
  </si>
  <si>
    <t>NS035</t>
  </si>
  <si>
    <t>NS036</t>
  </si>
  <si>
    <t>NS037</t>
  </si>
  <si>
    <t>NS038</t>
  </si>
  <si>
    <t>NS039</t>
  </si>
  <si>
    <t>NS040</t>
  </si>
  <si>
    <t>NS041</t>
  </si>
  <si>
    <t>NS042</t>
  </si>
  <si>
    <t>NS043</t>
  </si>
  <si>
    <t>NS044</t>
  </si>
  <si>
    <t>NS045</t>
  </si>
  <si>
    <t>NS046</t>
  </si>
  <si>
    <t>NS047</t>
  </si>
  <si>
    <t>NS048</t>
  </si>
  <si>
    <t>Ricardo</t>
  </si>
  <si>
    <t>Gustavo</t>
  </si>
  <si>
    <t>Daniel</t>
  </si>
  <si>
    <t>Lilian</t>
  </si>
  <si>
    <t>Andréia</t>
  </si>
  <si>
    <t>Leonardo</t>
  </si>
  <si>
    <t>COD001</t>
  </si>
  <si>
    <t xml:space="preserve">COD002 </t>
  </si>
  <si>
    <t>COD003</t>
  </si>
  <si>
    <t>COD004</t>
  </si>
  <si>
    <t>COD005</t>
  </si>
  <si>
    <t>COD006</t>
  </si>
  <si>
    <t>COD007</t>
  </si>
  <si>
    <t>COD008</t>
  </si>
  <si>
    <t>COD009</t>
  </si>
  <si>
    <t>COD010</t>
  </si>
  <si>
    <t>COD011</t>
  </si>
  <si>
    <t>COD012</t>
  </si>
  <si>
    <t>COD013</t>
  </si>
  <si>
    <t>COD014</t>
  </si>
  <si>
    <t>COD015</t>
  </si>
  <si>
    <t>COD016</t>
  </si>
  <si>
    <t>COD017</t>
  </si>
  <si>
    <t>COD018</t>
  </si>
  <si>
    <t>COD019</t>
  </si>
  <si>
    <t>Estação 1</t>
  </si>
  <si>
    <t>Estação 2</t>
  </si>
  <si>
    <t>Estação 3</t>
  </si>
  <si>
    <t>Estação 4</t>
  </si>
  <si>
    <t>Estação 5</t>
  </si>
  <si>
    <t>Estação 6</t>
  </si>
  <si>
    <t>Estação 7</t>
  </si>
  <si>
    <t>Estação 8</t>
  </si>
  <si>
    <t>Estação 9</t>
  </si>
  <si>
    <t>Estação 10</t>
  </si>
  <si>
    <t>Estação 11</t>
  </si>
  <si>
    <t>Estação 12</t>
  </si>
  <si>
    <t>Estação 13</t>
  </si>
  <si>
    <t>Estação 14</t>
  </si>
  <si>
    <t>Estação 15</t>
  </si>
  <si>
    <t>Estação 16</t>
  </si>
  <si>
    <t>Estação 17</t>
  </si>
  <si>
    <t>Estação 18</t>
  </si>
  <si>
    <t>Estação 19</t>
  </si>
  <si>
    <t>Ficha de Visita</t>
  </si>
  <si>
    <t>Companhia Fictícia LTDA</t>
  </si>
  <si>
    <t>Controle de Processo Interno</t>
  </si>
  <si>
    <t>COD005 Estação 5</t>
  </si>
  <si>
    <t>Registros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</si>
</sst>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dd"/>
    <numFmt numFmtId="166" formatCode="########"/>
    <numFmt numFmtId="167" formatCode="00000000"/>
    <numFmt numFmtId="168" formatCode="[$-F400]h:mm:ss\ AM/PM"/>
    <numFmt numFmtId="169" formatCode="0000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color rgb="FF000000"/>
      <name val="Tahoma"/>
      <family val="2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3366"/>
      <name val="Calibri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</borders>
  <cellStyleXfs count="4">
    <xf numFmtId="0" fontId="0" fillId="0" borderId="0"/>
    <xf numFmtId="9" fontId="7" fillId="0" borderId="0" applyFont="0" applyFill="0" applyBorder="0" applyAlignment="0" applyProtection="0"/>
    <xf numFmtId="0" fontId="9" fillId="0" borderId="0"/>
    <xf numFmtId="0" fontId="9" fillId="0" borderId="0"/>
  </cellStyleXfs>
  <cellXfs count="268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vertical="center" wrapText="1"/>
    </xf>
    <xf numFmtId="2" fontId="0" fillId="0" borderId="0" xfId="0" applyNumberFormat="1" applyBorder="1" applyAlignment="1">
      <alignment vertical="center"/>
    </xf>
    <xf numFmtId="2" fontId="0" fillId="0" borderId="0" xfId="0" applyNumberFormat="1" applyBorder="1" applyAlignment="1">
      <alignment horizontal="center" vertical="center"/>
    </xf>
    <xf numFmtId="0" fontId="6" fillId="0" borderId="0" xfId="0" applyFont="1" applyAlignment="1">
      <alignment horizontal="right"/>
    </xf>
    <xf numFmtId="0" fontId="10" fillId="0" borderId="0" xfId="2" applyFont="1" applyFill="1" applyBorder="1" applyAlignment="1">
      <alignment horizontal="center"/>
    </xf>
    <xf numFmtId="0" fontId="8" fillId="0" borderId="0" xfId="2" applyFont="1" applyFill="1" applyBorder="1" applyAlignment="1">
      <alignment horizontal="center"/>
    </xf>
    <xf numFmtId="0" fontId="0" fillId="0" borderId="0" xfId="0" applyFill="1" applyBorder="1"/>
    <xf numFmtId="0" fontId="8" fillId="0" borderId="0" xfId="3" applyFont="1" applyFill="1" applyBorder="1" applyAlignment="1">
      <alignment horizontal="center"/>
    </xf>
    <xf numFmtId="1" fontId="8" fillId="0" borderId="0" xfId="2" applyNumberFormat="1" applyFont="1" applyFill="1" applyBorder="1" applyAlignment="1">
      <alignment horizontal="right" wrapText="1"/>
    </xf>
    <xf numFmtId="0" fontId="8" fillId="0" borderId="0" xfId="2" applyFont="1" applyFill="1" applyBorder="1" applyAlignment="1">
      <alignment wrapText="1"/>
    </xf>
    <xf numFmtId="0" fontId="8" fillId="0" borderId="0" xfId="3" applyFont="1" applyFill="1" applyBorder="1" applyAlignment="1">
      <alignment wrapText="1"/>
    </xf>
    <xf numFmtId="2" fontId="4" fillId="0" borderId="0" xfId="0" quotePrefix="1" applyNumberFormat="1" applyFont="1" applyBorder="1"/>
    <xf numFmtId="165" fontId="11" fillId="0" borderId="0" xfId="0" applyNumberFormat="1" applyFont="1"/>
    <xf numFmtId="1" fontId="11" fillId="0" borderId="0" xfId="0" applyNumberFormat="1" applyFont="1"/>
    <xf numFmtId="0" fontId="11" fillId="0" borderId="0" xfId="0" applyFont="1"/>
    <xf numFmtId="0" fontId="0" fillId="0" borderId="6" xfId="0" applyFill="1" applyBorder="1"/>
    <xf numFmtId="0" fontId="0" fillId="0" borderId="11" xfId="0" applyFill="1" applyBorder="1" applyAlignment="1" applyProtection="1">
      <protection locked="0"/>
    </xf>
    <xf numFmtId="0" fontId="0" fillId="2" borderId="4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32" xfId="0" applyFill="1" applyBorder="1" applyAlignment="1"/>
    <xf numFmtId="4" fontId="0" fillId="2" borderId="34" xfId="1" applyNumberFormat="1" applyFont="1" applyFill="1" applyBorder="1" applyAlignment="1">
      <alignment horizontal="center"/>
    </xf>
    <xf numFmtId="0" fontId="0" fillId="2" borderId="8" xfId="0" applyFill="1" applyBorder="1" applyAlignment="1"/>
    <xf numFmtId="0" fontId="0" fillId="2" borderId="9" xfId="0" applyFill="1" applyBorder="1" applyAlignment="1"/>
    <xf numFmtId="0" fontId="0" fillId="0" borderId="43" xfId="0" applyFill="1" applyBorder="1" applyProtection="1">
      <protection locked="0"/>
    </xf>
    <xf numFmtId="0" fontId="5" fillId="3" borderId="4" xfId="0" applyFont="1" applyFill="1" applyBorder="1" applyAlignment="1">
      <alignment horizontal="right"/>
    </xf>
    <xf numFmtId="0" fontId="5" fillId="3" borderId="38" xfId="0" applyFont="1" applyFill="1" applyBorder="1" applyAlignment="1"/>
    <xf numFmtId="0" fontId="5" fillId="3" borderId="39" xfId="0" applyFont="1" applyFill="1" applyBorder="1" applyAlignment="1"/>
    <xf numFmtId="0" fontId="5" fillId="3" borderId="39" xfId="0" applyFont="1" applyFill="1" applyBorder="1" applyAlignment="1">
      <alignment horizontal="right"/>
    </xf>
    <xf numFmtId="0" fontId="1" fillId="3" borderId="41" xfId="0" applyFont="1" applyFill="1" applyBorder="1" applyAlignment="1"/>
    <xf numFmtId="0" fontId="1" fillId="3" borderId="28" xfId="0" applyFont="1" applyFill="1" applyBorder="1" applyAlignment="1">
      <alignment horizontal="center"/>
    </xf>
    <xf numFmtId="0" fontId="12" fillId="2" borderId="3" xfId="0" applyFont="1" applyFill="1" applyBorder="1"/>
    <xf numFmtId="0" fontId="0" fillId="2" borderId="7" xfId="0" applyFill="1" applyBorder="1" applyAlignment="1" applyProtection="1">
      <alignment horizontal="left"/>
      <protection locked="0"/>
    </xf>
    <xf numFmtId="0" fontId="0" fillId="2" borderId="8" xfId="0" applyFill="1" applyBorder="1" applyAlignment="1" applyProtection="1">
      <alignment horizontal="left"/>
      <protection locked="0"/>
    </xf>
    <xf numFmtId="0" fontId="14" fillId="2" borderId="11" xfId="0" applyFont="1" applyFill="1" applyBorder="1" applyAlignment="1" applyProtection="1">
      <protection locked="0"/>
    </xf>
    <xf numFmtId="0" fontId="14" fillId="2" borderId="8" xfId="0" applyFont="1" applyFill="1" applyBorder="1" applyAlignment="1" applyProtection="1">
      <protection locked="0"/>
    </xf>
    <xf numFmtId="0" fontId="5" fillId="3" borderId="39" xfId="0" applyFont="1" applyFill="1" applyBorder="1" applyAlignment="1">
      <alignment vertical="center"/>
    </xf>
    <xf numFmtId="0" fontId="16" fillId="3" borderId="38" xfId="0" applyFont="1" applyFill="1" applyBorder="1" applyAlignment="1">
      <alignment vertical="center"/>
    </xf>
    <xf numFmtId="0" fontId="16" fillId="3" borderId="38" xfId="0" applyFont="1" applyFill="1" applyBorder="1" applyAlignment="1"/>
    <xf numFmtId="0" fontId="16" fillId="3" borderId="39" xfId="0" applyFont="1" applyFill="1" applyBorder="1" applyAlignment="1"/>
    <xf numFmtId="0" fontId="1" fillId="3" borderId="39" xfId="0" applyFont="1" applyFill="1" applyBorder="1" applyAlignment="1"/>
    <xf numFmtId="0" fontId="0" fillId="0" borderId="25" xfId="0" applyFill="1" applyBorder="1" applyAlignment="1" applyProtection="1">
      <protection locked="0"/>
    </xf>
    <xf numFmtId="4" fontId="0" fillId="2" borderId="25" xfId="1" applyNumberFormat="1" applyFont="1" applyFill="1" applyBorder="1" applyAlignment="1">
      <alignment horizontal="center"/>
    </xf>
    <xf numFmtId="0" fontId="1" fillId="2" borderId="11" xfId="0" applyFont="1" applyFill="1" applyBorder="1" applyAlignment="1">
      <alignment horizontal="left"/>
    </xf>
    <xf numFmtId="0" fontId="1" fillId="2" borderId="18" xfId="0" applyFont="1" applyFill="1" applyBorder="1" applyAlignment="1">
      <alignment horizontal="left"/>
    </xf>
    <xf numFmtId="0" fontId="0" fillId="0" borderId="0" xfId="0" applyFont="1" applyFill="1" applyBorder="1" applyAlignment="1" applyProtection="1">
      <alignment horizontal="right"/>
      <protection locked="0"/>
    </xf>
    <xf numFmtId="20" fontId="12" fillId="0" borderId="10" xfId="0" applyNumberFormat="1" applyFont="1" applyFill="1" applyBorder="1" applyAlignment="1" applyProtection="1">
      <protection locked="0"/>
    </xf>
    <xf numFmtId="164" fontId="0" fillId="2" borderId="11" xfId="0" applyNumberFormat="1" applyFill="1" applyBorder="1" applyAlignment="1">
      <alignment horizontal="center" vertical="center"/>
    </xf>
    <xf numFmtId="0" fontId="0" fillId="2" borderId="47" xfId="0" applyFill="1" applyBorder="1" applyAlignment="1" applyProtection="1">
      <protection locked="0"/>
    </xf>
    <xf numFmtId="0" fontId="14" fillId="2" borderId="15" xfId="0" applyFont="1" applyFill="1" applyBorder="1" applyAlignment="1" applyProtection="1">
      <protection locked="0"/>
    </xf>
    <xf numFmtId="0" fontId="0" fillId="0" borderId="8" xfId="0" applyFont="1" applyFill="1" applyBorder="1" applyAlignment="1" applyProtection="1">
      <alignment horizontal="right"/>
      <protection locked="0"/>
    </xf>
    <xf numFmtId="2" fontId="0" fillId="3" borderId="4" xfId="0" applyNumberFormat="1" applyFill="1" applyBorder="1"/>
    <xf numFmtId="1" fontId="0" fillId="3" borderId="4" xfId="0" applyNumberFormat="1" applyFill="1" applyBorder="1"/>
    <xf numFmtId="0" fontId="12" fillId="2" borderId="7" xfId="0" applyFont="1" applyFill="1" applyBorder="1"/>
    <xf numFmtId="0" fontId="0" fillId="0" borderId="49" xfId="0" applyFill="1" applyBorder="1" applyAlignment="1" applyProtection="1">
      <alignment horizontal="center"/>
      <protection locked="0"/>
    </xf>
    <xf numFmtId="0" fontId="0" fillId="2" borderId="8" xfId="0" applyFill="1" applyBorder="1" applyAlignment="1">
      <alignment horizontal="center"/>
    </xf>
    <xf numFmtId="0" fontId="0" fillId="2" borderId="8" xfId="0" applyFill="1" applyBorder="1" applyAlignment="1">
      <alignment horizontal="right"/>
    </xf>
    <xf numFmtId="14" fontId="0" fillId="0" borderId="49" xfId="0" applyNumberFormat="1" applyFill="1" applyBorder="1" applyAlignment="1" applyProtection="1">
      <alignment horizontal="center"/>
      <protection locked="0"/>
    </xf>
    <xf numFmtId="20" fontId="0" fillId="0" borderId="49" xfId="0" applyNumberFormat="1" applyFill="1" applyBorder="1" applyProtection="1">
      <protection locked="0"/>
    </xf>
    <xf numFmtId="0" fontId="0" fillId="2" borderId="8" xfId="0" applyFill="1" applyBorder="1" applyAlignment="1">
      <alignment horizontal="left"/>
    </xf>
    <xf numFmtId="4" fontId="0" fillId="2" borderId="50" xfId="1" applyNumberFormat="1" applyFont="1" applyFill="1" applyBorder="1" applyAlignment="1">
      <alignment horizontal="center"/>
    </xf>
    <xf numFmtId="4" fontId="0" fillId="2" borderId="51" xfId="1" applyNumberFormat="1" applyFont="1" applyFill="1" applyBorder="1" applyAlignment="1">
      <alignment horizontal="center"/>
    </xf>
    <xf numFmtId="2" fontId="12" fillId="2" borderId="11" xfId="0" quotePrefix="1" applyNumberFormat="1" applyFont="1" applyFill="1" applyBorder="1" applyAlignment="1">
      <alignment horizontal="center" vertical="center" wrapText="1"/>
    </xf>
    <xf numFmtId="0" fontId="12" fillId="0" borderId="0" xfId="0" applyFont="1"/>
    <xf numFmtId="4" fontId="0" fillId="2" borderId="50" xfId="1" applyNumberFormat="1" applyFont="1" applyFill="1" applyBorder="1" applyAlignment="1">
      <alignment horizontal="center" vertical="center"/>
    </xf>
    <xf numFmtId="167" fontId="12" fillId="3" borderId="39" xfId="0" applyNumberFormat="1" applyFont="1" applyFill="1" applyBorder="1" applyAlignment="1" applyProtection="1"/>
    <xf numFmtId="0" fontId="1" fillId="2" borderId="11" xfId="0" applyFont="1" applyFill="1" applyBorder="1" applyAlignment="1">
      <alignment horizontal="center"/>
    </xf>
    <xf numFmtId="0" fontId="11" fillId="0" borderId="0" xfId="0" applyFont="1" applyProtection="1">
      <protection locked="0"/>
    </xf>
    <xf numFmtId="0" fontId="1" fillId="3" borderId="39" xfId="0" applyFont="1" applyFill="1" applyBorder="1" applyAlignment="1">
      <alignment horizontal="right"/>
    </xf>
    <xf numFmtId="0" fontId="0" fillId="0" borderId="34" xfId="0" applyFill="1" applyBorder="1" applyAlignment="1" applyProtection="1">
      <protection locked="0"/>
    </xf>
    <xf numFmtId="14" fontId="0" fillId="0" borderId="39" xfId="0" applyNumberFormat="1" applyFill="1" applyBorder="1" applyAlignment="1" applyProtection="1">
      <alignment horizontal="center"/>
      <protection locked="0"/>
    </xf>
    <xf numFmtId="0" fontId="0" fillId="2" borderId="4" xfId="0" applyFill="1" applyBorder="1" applyAlignment="1"/>
    <xf numFmtId="0" fontId="0" fillId="2" borderId="10" xfId="0" applyFill="1" applyBorder="1" applyAlignment="1"/>
    <xf numFmtId="0" fontId="0" fillId="0" borderId="21" xfId="0" applyFont="1" applyFill="1" applyBorder="1" applyAlignment="1" applyProtection="1">
      <alignment horizontal="right"/>
      <protection locked="0"/>
    </xf>
    <xf numFmtId="167" fontId="12" fillId="0" borderId="0" xfId="0" applyNumberFormat="1" applyFont="1"/>
    <xf numFmtId="14" fontId="12" fillId="0" borderId="0" xfId="0" applyNumberFormat="1" applyFont="1"/>
    <xf numFmtId="168" fontId="12" fillId="0" borderId="0" xfId="0" applyNumberFormat="1" applyFont="1"/>
    <xf numFmtId="0" fontId="1" fillId="2" borderId="11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wrapText="1"/>
    </xf>
    <xf numFmtId="0" fontId="1" fillId="2" borderId="22" xfId="0" applyFont="1" applyFill="1" applyBorder="1" applyAlignment="1">
      <alignment horizontal="center" vertical="center" wrapText="1"/>
    </xf>
    <xf numFmtId="168" fontId="5" fillId="5" borderId="0" xfId="0" applyNumberFormat="1" applyFont="1" applyFill="1"/>
    <xf numFmtId="166" fontId="5" fillId="6" borderId="0" xfId="0" applyNumberFormat="1" applyFont="1" applyFill="1"/>
    <xf numFmtId="0" fontId="5" fillId="5" borderId="0" xfId="0" applyFont="1" applyFill="1"/>
    <xf numFmtId="14" fontId="5" fillId="5" borderId="0" xfId="0" applyNumberFormat="1" applyFont="1" applyFill="1"/>
    <xf numFmtId="14" fontId="5" fillId="4" borderId="0" xfId="0" applyNumberFormat="1" applyFont="1" applyFill="1"/>
    <xf numFmtId="168" fontId="5" fillId="4" borderId="0" xfId="0" applyNumberFormat="1" applyFont="1" applyFill="1"/>
    <xf numFmtId="0" fontId="5" fillId="4" borderId="0" xfId="0" applyFont="1" applyFill="1"/>
    <xf numFmtId="0" fontId="5" fillId="0" borderId="0" xfId="0" applyFont="1"/>
    <xf numFmtId="2" fontId="12" fillId="0" borderId="0" xfId="0" applyNumberFormat="1" applyFont="1"/>
    <xf numFmtId="0" fontId="0" fillId="2" borderId="8" xfId="0" applyFill="1" applyBorder="1" applyAlignment="1" applyProtection="1">
      <alignment horizontal="center"/>
    </xf>
    <xf numFmtId="0" fontId="14" fillId="2" borderId="9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left"/>
    </xf>
    <xf numFmtId="0" fontId="0" fillId="2" borderId="8" xfId="0" applyFont="1" applyFill="1" applyBorder="1" applyAlignment="1" applyProtection="1">
      <alignment horizontal="right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1" fontId="12" fillId="0" borderId="0" xfId="0" applyNumberFormat="1" applyFont="1"/>
    <xf numFmtId="1" fontId="16" fillId="7" borderId="0" xfId="0" applyNumberFormat="1" applyFont="1" applyFill="1" applyAlignment="1">
      <alignment horizontal="center" vertical="center"/>
    </xf>
    <xf numFmtId="1" fontId="11" fillId="7" borderId="0" xfId="0" applyNumberFormat="1" applyFont="1" applyFill="1" applyAlignment="1">
      <alignment horizontal="center" vertical="center"/>
    </xf>
    <xf numFmtId="2" fontId="0" fillId="0" borderId="11" xfId="0" applyNumberFormat="1" applyFill="1" applyBorder="1" applyAlignment="1" applyProtection="1">
      <alignment horizontal="center" vertical="center"/>
      <protection locked="0"/>
    </xf>
    <xf numFmtId="2" fontId="0" fillId="0" borderId="15" xfId="0" applyNumberFormat="1" applyFill="1" applyBorder="1" applyAlignment="1" applyProtection="1">
      <alignment horizontal="center" vertical="center"/>
      <protection locked="0"/>
    </xf>
    <xf numFmtId="2" fontId="0" fillId="0" borderId="25" xfId="0" applyNumberFormat="1" applyFill="1" applyBorder="1" applyAlignment="1" applyProtection="1">
      <protection locked="0"/>
    </xf>
    <xf numFmtId="2" fontId="0" fillId="0" borderId="34" xfId="0" applyNumberFormat="1" applyFill="1" applyBorder="1" applyAlignment="1" applyProtection="1">
      <protection locked="0"/>
    </xf>
    <xf numFmtId="2" fontId="0" fillId="0" borderId="8" xfId="0" applyNumberFormat="1" applyFill="1" applyBorder="1" applyProtection="1">
      <protection locked="0"/>
    </xf>
    <xf numFmtId="168" fontId="12" fillId="0" borderId="10" xfId="0" applyNumberFormat="1" applyFont="1" applyFill="1" applyBorder="1" applyAlignment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67" fontId="0" fillId="0" borderId="0" xfId="0" applyNumberFormat="1" applyAlignment="1">
      <alignment horizontal="left" indent="1"/>
    </xf>
    <xf numFmtId="0" fontId="5" fillId="8" borderId="0" xfId="0" applyFont="1" applyFill="1"/>
    <xf numFmtId="0" fontId="12" fillId="8" borderId="0" xfId="0" applyFont="1" applyFill="1"/>
    <xf numFmtId="0" fontId="21" fillId="0" borderId="0" xfId="0" applyFont="1"/>
    <xf numFmtId="14" fontId="21" fillId="0" borderId="0" xfId="0" applyNumberFormat="1" applyFont="1"/>
    <xf numFmtId="168" fontId="21" fillId="0" borderId="0" xfId="0" applyNumberFormat="1" applyFont="1"/>
    <xf numFmtId="0" fontId="0" fillId="0" borderId="0" xfId="0" applyFont="1" applyFill="1" applyBorder="1" applyAlignment="1" applyProtection="1">
      <alignment horizontal="right"/>
    </xf>
    <xf numFmtId="0" fontId="0" fillId="0" borderId="8" xfId="0" applyFont="1" applyFill="1" applyBorder="1" applyAlignment="1" applyProtection="1">
      <alignment horizontal="right"/>
    </xf>
    <xf numFmtId="2" fontId="0" fillId="0" borderId="8" xfId="0" applyNumberFormat="1" applyFill="1" applyBorder="1" applyAlignment="1" applyProtection="1">
      <alignment horizontal="center"/>
      <protection locked="0"/>
    </xf>
    <xf numFmtId="2" fontId="0" fillId="0" borderId="0" xfId="0" applyNumberFormat="1"/>
    <xf numFmtId="2" fontId="5" fillId="0" borderId="0" xfId="0" applyNumberFormat="1" applyFont="1"/>
    <xf numFmtId="0" fontId="1" fillId="2" borderId="11" xfId="0" applyFont="1" applyFill="1" applyBorder="1" applyAlignment="1">
      <alignment horizontal="center"/>
    </xf>
    <xf numFmtId="2" fontId="0" fillId="0" borderId="11" xfId="0" applyNumberFormat="1" applyFill="1" applyBorder="1" applyAlignment="1" applyProtection="1">
      <alignment horizontal="center" vertical="center"/>
      <protection locked="0"/>
    </xf>
    <xf numFmtId="0" fontId="1" fillId="2" borderId="11" xfId="0" applyFont="1" applyFill="1" applyBorder="1" applyAlignment="1">
      <alignment horizontal="center" wrapText="1"/>
    </xf>
    <xf numFmtId="2" fontId="0" fillId="0" borderId="0" xfId="0" applyNumberFormat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2" fontId="0" fillId="0" borderId="15" xfId="0" applyNumberFormat="1" applyFill="1" applyBorder="1" applyAlignment="1" applyProtection="1">
      <alignment horizontal="center" vertical="center"/>
      <protection locked="0"/>
    </xf>
    <xf numFmtId="0" fontId="1" fillId="2" borderId="22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 applyProtection="1">
      <alignment horizontal="right"/>
      <protection locked="0"/>
    </xf>
    <xf numFmtId="0" fontId="0" fillId="0" borderId="2" xfId="0" applyFont="1" applyFill="1" applyBorder="1" applyAlignment="1" applyProtection="1">
      <alignment horizontal="right"/>
      <protection locked="0"/>
    </xf>
    <xf numFmtId="0" fontId="0" fillId="0" borderId="11" xfId="0" applyFill="1" applyBorder="1" applyAlignment="1" applyProtection="1">
      <alignment horizontal="center" vertical="center"/>
      <protection locked="0"/>
    </xf>
    <xf numFmtId="0" fontId="0" fillId="9" borderId="0" xfId="0" applyFill="1"/>
    <xf numFmtId="0" fontId="22" fillId="0" borderId="0" xfId="0" applyFont="1" applyFill="1" applyBorder="1"/>
    <xf numFmtId="0" fontId="0" fillId="0" borderId="43" xfId="0" applyFill="1" applyBorder="1" applyAlignment="1" applyProtection="1">
      <alignment horizontal="left"/>
      <protection locked="0"/>
    </xf>
    <xf numFmtId="0" fontId="0" fillId="2" borderId="8" xfId="0" applyFill="1" applyBorder="1" applyProtection="1">
      <protection locked="0"/>
    </xf>
    <xf numFmtId="0" fontId="12" fillId="8" borderId="54" xfId="0" applyFont="1" applyFill="1" applyBorder="1"/>
    <xf numFmtId="0" fontId="12" fillId="8" borderId="55" xfId="0" applyFont="1" applyFill="1" applyBorder="1"/>
    <xf numFmtId="169" fontId="8" fillId="0" borderId="0" xfId="2" applyNumberFormat="1" applyFont="1" applyFill="1" applyBorder="1" applyAlignment="1">
      <alignment horizontal="right" wrapText="1"/>
    </xf>
    <xf numFmtId="0" fontId="26" fillId="0" borderId="0" xfId="0" applyFont="1"/>
    <xf numFmtId="0" fontId="3" fillId="0" borderId="0" xfId="0" applyFont="1" applyAlignment="1">
      <alignment horizontal="right"/>
    </xf>
    <xf numFmtId="0" fontId="26" fillId="0" borderId="0" xfId="0" applyFont="1" applyAlignment="1">
      <alignment horizontal="right"/>
    </xf>
    <xf numFmtId="0" fontId="12" fillId="8" borderId="0" xfId="0" applyNumberFormat="1" applyFont="1" applyFill="1"/>
    <xf numFmtId="0" fontId="17" fillId="0" borderId="0" xfId="0" applyFont="1" applyBorder="1" applyAlignment="1">
      <alignment horizontal="right"/>
    </xf>
    <xf numFmtId="0" fontId="0" fillId="0" borderId="48" xfId="0" applyFont="1" applyFill="1" applyBorder="1" applyAlignment="1" applyProtection="1">
      <alignment horizontal="right"/>
      <protection locked="0"/>
    </xf>
    <xf numFmtId="0" fontId="0" fillId="0" borderId="16" xfId="0" applyFont="1" applyFill="1" applyBorder="1" applyAlignment="1" applyProtection="1">
      <alignment horizontal="right"/>
      <protection locked="0"/>
    </xf>
    <xf numFmtId="0" fontId="0" fillId="0" borderId="13" xfId="0" applyFont="1" applyFill="1" applyBorder="1" applyAlignment="1" applyProtection="1">
      <alignment horizontal="right"/>
      <protection locked="0"/>
    </xf>
    <xf numFmtId="0" fontId="0" fillId="0" borderId="1" xfId="0" applyFont="1" applyFill="1" applyBorder="1" applyAlignment="1" applyProtection="1">
      <alignment horizontal="right"/>
      <protection locked="0"/>
    </xf>
    <xf numFmtId="0" fontId="0" fillId="0" borderId="22" xfId="0" applyFont="1" applyFill="1" applyBorder="1" applyAlignment="1" applyProtection="1">
      <alignment horizontal="right"/>
      <protection locked="0"/>
    </xf>
    <xf numFmtId="0" fontId="0" fillId="0" borderId="2" xfId="0" applyFont="1" applyFill="1" applyBorder="1" applyAlignment="1" applyProtection="1">
      <alignment horizontal="right"/>
      <protection locked="0"/>
    </xf>
    <xf numFmtId="0" fontId="0" fillId="0" borderId="45" xfId="0" applyFont="1" applyFill="1" applyBorder="1" applyAlignment="1" applyProtection="1">
      <alignment horizontal="right"/>
      <protection locked="0"/>
    </xf>
    <xf numFmtId="0" fontId="0" fillId="0" borderId="46" xfId="0" applyFont="1" applyFill="1" applyBorder="1" applyAlignment="1" applyProtection="1">
      <alignment horizontal="right"/>
      <protection locked="0"/>
    </xf>
    <xf numFmtId="0" fontId="0" fillId="0" borderId="44" xfId="0" applyFont="1" applyFill="1" applyBorder="1" applyAlignment="1" applyProtection="1">
      <alignment horizontal="right"/>
      <protection locked="0"/>
    </xf>
    <xf numFmtId="0" fontId="0" fillId="0" borderId="24" xfId="0" applyFont="1" applyFill="1" applyBorder="1" applyAlignment="1" applyProtection="1">
      <alignment horizontal="right"/>
      <protection locked="0"/>
    </xf>
    <xf numFmtId="2" fontId="0" fillId="0" borderId="22" xfId="0" applyNumberFormat="1" applyFill="1" applyBorder="1" applyAlignment="1" applyProtection="1">
      <alignment horizontal="center" vertical="center"/>
      <protection locked="0"/>
    </xf>
    <xf numFmtId="2" fontId="0" fillId="0" borderId="17" xfId="0" applyNumberFormat="1" applyFill="1" applyBorder="1" applyAlignment="1" applyProtection="1">
      <alignment horizontal="center" vertical="center"/>
      <protection locked="0"/>
    </xf>
    <xf numFmtId="0" fontId="15" fillId="3" borderId="4" xfId="0" applyFont="1" applyFill="1" applyBorder="1" applyAlignment="1" applyProtection="1">
      <alignment horizontal="left"/>
      <protection locked="0"/>
    </xf>
    <xf numFmtId="0" fontId="12" fillId="0" borderId="39" xfId="0" applyFont="1" applyFill="1" applyBorder="1" applyAlignment="1" applyProtection="1">
      <alignment horizontal="center"/>
      <protection locked="0"/>
    </xf>
    <xf numFmtId="0" fontId="12" fillId="0" borderId="40" xfId="0" applyFont="1" applyFill="1" applyBorder="1" applyAlignment="1" applyProtection="1">
      <alignment horizontal="center"/>
      <protection locked="0"/>
    </xf>
    <xf numFmtId="0" fontId="1" fillId="2" borderId="11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3" borderId="29" xfId="0" applyFont="1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/>
    </xf>
    <xf numFmtId="0" fontId="1" fillId="3" borderId="3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0" fillId="2" borderId="18" xfId="0" applyFill="1" applyBorder="1" applyAlignment="1">
      <alignment horizontal="center" wrapText="1"/>
    </xf>
    <xf numFmtId="0" fontId="0" fillId="2" borderId="11" xfId="0" applyFill="1" applyBorder="1" applyAlignment="1">
      <alignment horizontal="center" wrapText="1"/>
    </xf>
    <xf numFmtId="0" fontId="1" fillId="2" borderId="24" xfId="0" applyFont="1" applyFill="1" applyBorder="1" applyAlignment="1">
      <alignment horizontal="center" vertical="center" wrapText="1"/>
    </xf>
    <xf numFmtId="2" fontId="0" fillId="0" borderId="11" xfId="0" applyNumberFormat="1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1" fillId="3" borderId="18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wrapText="1"/>
    </xf>
    <xf numFmtId="2" fontId="0" fillId="0" borderId="0" xfId="0" applyNumberFormat="1" applyBorder="1" applyAlignment="1">
      <alignment horizontal="center" vertical="center"/>
    </xf>
    <xf numFmtId="0" fontId="1" fillId="3" borderId="18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25" xfId="0" applyFont="1" applyFill="1" applyBorder="1" applyAlignment="1">
      <alignment horizontal="center"/>
    </xf>
    <xf numFmtId="2" fontId="0" fillId="0" borderId="15" xfId="0" applyNumberFormat="1" applyFill="1" applyBorder="1" applyAlignment="1" applyProtection="1">
      <alignment horizontal="center" vertical="center"/>
      <protection locked="0"/>
    </xf>
    <xf numFmtId="14" fontId="0" fillId="0" borderId="11" xfId="0" applyNumberFormat="1" applyFill="1" applyBorder="1" applyAlignment="1" applyProtection="1">
      <alignment horizontal="center" vertical="center"/>
      <protection locked="0"/>
    </xf>
    <xf numFmtId="14" fontId="0" fillId="0" borderId="15" xfId="0" applyNumberFormat="1" applyFill="1" applyBorder="1" applyAlignment="1" applyProtection="1">
      <alignment horizontal="center" vertical="center"/>
      <protection locked="0"/>
    </xf>
    <xf numFmtId="0" fontId="1" fillId="3" borderId="14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 vertical="center" wrapText="1"/>
    </xf>
    <xf numFmtId="0" fontId="1" fillId="3" borderId="18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0" fillId="2" borderId="18" xfId="0" applyFill="1" applyBorder="1" applyAlignment="1" applyProtection="1">
      <alignment horizontal="left"/>
      <protection locked="0"/>
    </xf>
    <xf numFmtId="0" fontId="0" fillId="2" borderId="1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3" fillId="0" borderId="0" xfId="0" applyFont="1" applyAlignment="1">
      <alignment horizontal="center"/>
    </xf>
    <xf numFmtId="0" fontId="0" fillId="2" borderId="30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23" xfId="0" applyFill="1" applyBorder="1" applyAlignment="1">
      <alignment horizontal="left"/>
    </xf>
    <xf numFmtId="0" fontId="1" fillId="2" borderId="18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0" fillId="2" borderId="19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17" xfId="0" applyFill="1" applyBorder="1" applyAlignment="1">
      <alignment horizontal="left"/>
    </xf>
    <xf numFmtId="0" fontId="0" fillId="2" borderId="4" xfId="0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0" fontId="0" fillId="2" borderId="10" xfId="0" applyFill="1" applyBorder="1" applyAlignment="1">
      <alignment horizontal="left"/>
    </xf>
    <xf numFmtId="0" fontId="0" fillId="0" borderId="27" xfId="0" applyFont="1" applyFill="1" applyBorder="1" applyAlignment="1" applyProtection="1">
      <alignment horizontal="left" vertical="top" wrapText="1"/>
      <protection locked="0"/>
    </xf>
    <xf numFmtId="0" fontId="0" fillId="0" borderId="21" xfId="0" applyFont="1" applyFill="1" applyBorder="1" applyAlignment="1" applyProtection="1">
      <alignment horizontal="left" vertical="top" wrapText="1"/>
      <protection locked="0"/>
    </xf>
    <xf numFmtId="0" fontId="0" fillId="0" borderId="31" xfId="0" applyFont="1" applyFill="1" applyBorder="1" applyAlignment="1" applyProtection="1">
      <alignment horizontal="left" vertical="top" wrapText="1"/>
      <protection locked="0"/>
    </xf>
    <xf numFmtId="0" fontId="0" fillId="0" borderId="12" xfId="0" applyFont="1" applyFill="1" applyBorder="1" applyAlignment="1" applyProtection="1">
      <alignment horizontal="left" vertical="top" wrapText="1"/>
      <protection locked="0"/>
    </xf>
    <xf numFmtId="0" fontId="0" fillId="0" borderId="0" xfId="0" applyFont="1" applyFill="1" applyBorder="1" applyAlignment="1" applyProtection="1">
      <alignment horizontal="left" vertical="top" wrapText="1"/>
      <protection locked="0"/>
    </xf>
    <xf numFmtId="0" fontId="0" fillId="0" borderId="6" xfId="0" applyFont="1" applyFill="1" applyBorder="1" applyAlignment="1" applyProtection="1">
      <alignment horizontal="left" vertical="top" wrapText="1"/>
      <protection locked="0"/>
    </xf>
    <xf numFmtId="0" fontId="0" fillId="0" borderId="35" xfId="0" applyFont="1" applyFill="1" applyBorder="1" applyAlignment="1" applyProtection="1">
      <alignment horizontal="left" vertical="top" wrapText="1"/>
      <protection locked="0"/>
    </xf>
    <xf numFmtId="0" fontId="0" fillId="0" borderId="36" xfId="0" applyFont="1" applyFill="1" applyBorder="1" applyAlignment="1" applyProtection="1">
      <alignment horizontal="left" vertical="top" wrapText="1"/>
      <protection locked="0"/>
    </xf>
    <xf numFmtId="0" fontId="0" fillId="0" borderId="37" xfId="0" applyFont="1" applyFill="1" applyBorder="1" applyAlignment="1" applyProtection="1">
      <alignment horizontal="left" vertical="top" wrapText="1"/>
      <protection locked="0"/>
    </xf>
    <xf numFmtId="0" fontId="1" fillId="2" borderId="2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0" fillId="0" borderId="29" xfId="0" applyBorder="1" applyAlignment="1" applyProtection="1">
      <alignment horizontal="left" vertical="top" wrapText="1"/>
      <protection locked="0"/>
    </xf>
    <xf numFmtId="0" fontId="0" fillId="0" borderId="21" xfId="0" applyBorder="1" applyAlignment="1" applyProtection="1">
      <alignment horizontal="left" vertical="top" wrapText="1"/>
      <protection locked="0"/>
    </xf>
    <xf numFmtId="0" fontId="0" fillId="0" borderId="31" xfId="0" applyBorder="1" applyAlignment="1" applyProtection="1">
      <alignment horizontal="left" vertical="top" wrapText="1"/>
      <protection locked="0"/>
    </xf>
    <xf numFmtId="0" fontId="0" fillId="0" borderId="5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6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8" xfId="0" applyBorder="1" applyAlignment="1" applyProtection="1">
      <alignment horizontal="left" vertical="top" wrapText="1"/>
      <protection locked="0"/>
    </xf>
    <xf numFmtId="0" fontId="0" fillId="0" borderId="9" xfId="0" applyBorder="1" applyAlignment="1" applyProtection="1">
      <alignment horizontal="left" vertical="top" wrapText="1"/>
      <protection locked="0"/>
    </xf>
    <xf numFmtId="0" fontId="1" fillId="3" borderId="38" xfId="0" applyFont="1" applyFill="1" applyBorder="1" applyAlignment="1">
      <alignment horizontal="center"/>
    </xf>
    <xf numFmtId="0" fontId="1" fillId="3" borderId="39" xfId="0" applyFont="1" applyFill="1" applyBorder="1" applyAlignment="1">
      <alignment horizontal="center"/>
    </xf>
    <xf numFmtId="0" fontId="1" fillId="3" borderId="40" xfId="0" applyFont="1" applyFill="1" applyBorder="1" applyAlignment="1">
      <alignment horizontal="center"/>
    </xf>
    <xf numFmtId="0" fontId="0" fillId="0" borderId="46" xfId="0" applyFill="1" applyBorder="1" applyAlignment="1" applyProtection="1">
      <alignment horizontal="center"/>
      <protection locked="0"/>
    </xf>
    <xf numFmtId="0" fontId="0" fillId="0" borderId="48" xfId="0" applyFill="1" applyBorder="1" applyAlignment="1" applyProtection="1">
      <alignment horizontal="center"/>
      <protection locked="0"/>
    </xf>
    <xf numFmtId="0" fontId="0" fillId="0" borderId="33" xfId="0" applyFill="1" applyBorder="1" applyAlignment="1" applyProtection="1">
      <alignment horizontal="center"/>
      <protection locked="0"/>
    </xf>
    <xf numFmtId="0" fontId="0" fillId="0" borderId="42" xfId="0" applyFill="1" applyBorder="1" applyAlignment="1" applyProtection="1">
      <alignment horizontal="center"/>
      <protection locked="0"/>
    </xf>
    <xf numFmtId="0" fontId="0" fillId="2" borderId="20" xfId="0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 wrapText="1"/>
    </xf>
    <xf numFmtId="0" fontId="23" fillId="10" borderId="0" xfId="0" applyFont="1" applyFill="1" applyAlignment="1">
      <alignment horizontal="center" vertical="center"/>
    </xf>
    <xf numFmtId="0" fontId="16" fillId="3" borderId="38" xfId="0" applyFont="1" applyFill="1" applyBorder="1" applyAlignment="1">
      <alignment horizontal="left" vertical="center"/>
    </xf>
    <xf numFmtId="0" fontId="16" fillId="3" borderId="39" xfId="0" applyFont="1" applyFill="1" applyBorder="1" applyAlignment="1">
      <alignment horizontal="left" vertical="center"/>
    </xf>
    <xf numFmtId="0" fontId="1" fillId="3" borderId="19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0" fillId="2" borderId="19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17" xfId="0" applyFill="1" applyBorder="1" applyAlignment="1">
      <alignment horizontal="center" wrapText="1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17" xfId="0" applyFill="1" applyBorder="1" applyAlignment="1" applyProtection="1">
      <alignment horizontal="center" vertical="center"/>
      <protection locked="0"/>
    </xf>
    <xf numFmtId="0" fontId="1" fillId="2" borderId="52" xfId="0" applyFont="1" applyFill="1" applyBorder="1" applyAlignment="1">
      <alignment horizontal="center" vertical="center" wrapText="1"/>
    </xf>
    <xf numFmtId="0" fontId="1" fillId="2" borderId="50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 wrapText="1"/>
    </xf>
    <xf numFmtId="0" fontId="0" fillId="0" borderId="11" xfId="0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>
      <alignment horizontal="center"/>
    </xf>
    <xf numFmtId="0" fontId="0" fillId="0" borderId="53" xfId="0" applyFont="1" applyFill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22" fillId="0" borderId="0" xfId="0" applyFont="1"/>
  </cellXfs>
  <cellStyles count="4">
    <cellStyle name="Normal" xfId="0" builtinId="0"/>
    <cellStyle name="Normal_Listas" xfId="2" xr:uid="{00000000-0005-0000-0000-000001000000}"/>
    <cellStyle name="Normal_Plan1" xfId="3" xr:uid="{00000000-0005-0000-0000-000002000000}"/>
    <cellStyle name="Porcentagem" xfId="1" builtinId="5"/>
  </cellStyles>
  <dxfs count="169">
    <dxf>
      <fill>
        <patternFill>
          <bgColor theme="0" tint="-0.14996795556505021"/>
        </patternFill>
      </fill>
    </dxf>
    <dxf>
      <font>
        <color auto="1"/>
      </font>
    </dxf>
    <dxf>
      <font>
        <color auto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5" tint="0.59996337778862885"/>
        </patternFill>
      </fill>
    </dxf>
    <dxf>
      <numFmt numFmtId="2" formatCode="0.00"/>
      <fill>
        <patternFill>
          <bgColor theme="5" tint="0.39994506668294322"/>
        </patternFill>
      </fill>
    </dxf>
    <dxf>
      <font>
        <color theme="1"/>
      </font>
      <numFmt numFmtId="2" formatCode="0.00"/>
      <fill>
        <patternFill>
          <bgColor theme="6" tint="0.39994506668294322"/>
        </patternFill>
      </fill>
    </dxf>
    <dxf>
      <font>
        <color theme="0" tint="-0.14996795556505021"/>
      </font>
      <fill>
        <patternFill patternType="solid">
          <bgColor theme="0" tint="-0.14996795556505021"/>
        </patternFill>
      </fill>
    </dxf>
    <dxf>
      <numFmt numFmtId="2" formatCode="0.00"/>
      <fill>
        <patternFill>
          <bgColor theme="5" tint="0.39994506668294322"/>
        </patternFill>
      </fill>
    </dxf>
    <dxf>
      <font>
        <color theme="1"/>
      </font>
      <numFmt numFmtId="2" formatCode="0.00"/>
      <fill>
        <patternFill>
          <bgColor theme="6" tint="0.39994506668294322"/>
        </patternFill>
      </fill>
    </dxf>
    <dxf>
      <font>
        <color theme="0" tint="-0.14996795556505021"/>
      </font>
      <fill>
        <patternFill patternType="solid">
          <bgColor theme="0" tint="-0.14996795556505021"/>
        </patternFill>
      </fill>
    </dxf>
    <dxf>
      <numFmt numFmtId="2" formatCode="0.00"/>
      <fill>
        <patternFill>
          <bgColor theme="5" tint="0.39994506668294322"/>
        </patternFill>
      </fill>
    </dxf>
    <dxf>
      <font>
        <color theme="1"/>
      </font>
      <numFmt numFmtId="2" formatCode="0.00"/>
      <fill>
        <patternFill>
          <bgColor theme="6" tint="0.39994506668294322"/>
        </patternFill>
      </fill>
    </dxf>
    <dxf>
      <font>
        <color theme="0" tint="-0.14996795556505021"/>
      </font>
      <fill>
        <patternFill patternType="solid">
          <bgColor theme="0" tint="-0.14996795556505021"/>
        </patternFill>
      </fill>
    </dxf>
    <dxf>
      <numFmt numFmtId="2" formatCode="0.00"/>
      <fill>
        <patternFill>
          <bgColor theme="5" tint="0.39994506668294322"/>
        </patternFill>
      </fill>
    </dxf>
    <dxf>
      <font>
        <color theme="1"/>
      </font>
      <numFmt numFmtId="2" formatCode="0.00"/>
      <fill>
        <patternFill>
          <bgColor theme="6" tint="0.39994506668294322"/>
        </patternFill>
      </fill>
    </dxf>
    <dxf>
      <font>
        <color theme="0" tint="-0.14996795556505021"/>
      </font>
      <fill>
        <patternFill patternType="solid">
          <bgColor theme="0" tint="-0.14996795556505021"/>
        </patternFill>
      </fill>
    </dxf>
    <dxf>
      <numFmt numFmtId="2" formatCode="0.00"/>
      <fill>
        <patternFill>
          <bgColor theme="5" tint="0.39994506668294322"/>
        </patternFill>
      </fill>
    </dxf>
    <dxf>
      <font>
        <color theme="1"/>
      </font>
      <numFmt numFmtId="2" formatCode="0.00"/>
      <fill>
        <patternFill>
          <bgColor theme="6" tint="0.39994506668294322"/>
        </patternFill>
      </fill>
    </dxf>
    <dxf>
      <font>
        <color theme="0" tint="-0.14996795556505021"/>
      </font>
      <fill>
        <patternFill patternType="solid">
          <bgColor theme="0" tint="-0.14996795556505021"/>
        </patternFill>
      </fill>
    </dxf>
    <dxf>
      <numFmt numFmtId="2" formatCode="0.00"/>
      <fill>
        <patternFill>
          <bgColor theme="5" tint="0.39994506668294322"/>
        </patternFill>
      </fill>
    </dxf>
    <dxf>
      <font>
        <color theme="1"/>
      </font>
      <numFmt numFmtId="2" formatCode="0.00"/>
      <fill>
        <patternFill>
          <bgColor theme="6" tint="0.39994506668294322"/>
        </patternFill>
      </fill>
    </dxf>
    <dxf>
      <font>
        <color theme="0" tint="-0.14996795556505021"/>
      </font>
      <fill>
        <patternFill patternType="solid">
          <bgColor theme="0" tint="-0.14996795556505021"/>
        </patternFill>
      </fill>
    </dxf>
    <dxf>
      <numFmt numFmtId="2" formatCode="0.00"/>
      <fill>
        <patternFill>
          <bgColor theme="6" tint="0.39994506668294322"/>
        </patternFill>
      </fill>
    </dxf>
    <dxf>
      <numFmt numFmtId="2" formatCode="0.00"/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[$-F400]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[$-F400]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[$-F400]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00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69" formatCode="00000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auto="1"/>
        </patternFill>
      </fill>
      <alignment horizontal="right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auto="1"/>
      </font>
    </dxf>
    <dxf>
      <font>
        <color auto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1"/>
      </font>
      <fill>
        <patternFill>
          <bgColor theme="5" tint="0.59996337778862885"/>
        </patternFill>
      </fill>
    </dxf>
    <dxf>
      <numFmt numFmtId="2" formatCode="0.00"/>
      <fill>
        <patternFill>
          <bgColor theme="5" tint="0.39994506668294322"/>
        </patternFill>
      </fill>
    </dxf>
    <dxf>
      <font>
        <color theme="1"/>
      </font>
      <numFmt numFmtId="2" formatCode="0.00"/>
      <fill>
        <patternFill>
          <bgColor theme="6" tint="0.39994506668294322"/>
        </patternFill>
      </fill>
    </dxf>
    <dxf>
      <font>
        <color theme="0" tint="-0.14996795556505021"/>
      </font>
      <fill>
        <patternFill patternType="solid">
          <bgColor theme="0" tint="-0.14996795556505021"/>
        </patternFill>
      </fill>
    </dxf>
    <dxf>
      <numFmt numFmtId="2" formatCode="0.00"/>
      <fill>
        <patternFill>
          <bgColor theme="5" tint="0.39994506668294322"/>
        </patternFill>
      </fill>
    </dxf>
    <dxf>
      <font>
        <color theme="1"/>
      </font>
      <numFmt numFmtId="2" formatCode="0.00"/>
      <fill>
        <patternFill>
          <bgColor theme="6" tint="0.39994506668294322"/>
        </patternFill>
      </fill>
    </dxf>
    <dxf>
      <font>
        <color theme="0" tint="-0.14996795556505021"/>
      </font>
      <fill>
        <patternFill patternType="solid">
          <bgColor theme="0" tint="-0.14996795556505021"/>
        </patternFill>
      </fill>
    </dxf>
    <dxf>
      <numFmt numFmtId="2" formatCode="0.00"/>
      <fill>
        <patternFill>
          <bgColor theme="5" tint="0.39994506668294322"/>
        </patternFill>
      </fill>
    </dxf>
    <dxf>
      <font>
        <color theme="1"/>
      </font>
      <numFmt numFmtId="2" formatCode="0.00"/>
      <fill>
        <patternFill>
          <bgColor theme="6" tint="0.39994506668294322"/>
        </patternFill>
      </fill>
    </dxf>
    <dxf>
      <font>
        <color theme="0" tint="-0.14996795556505021"/>
      </font>
      <fill>
        <patternFill patternType="solid">
          <bgColor theme="0" tint="-0.14996795556505021"/>
        </patternFill>
      </fill>
    </dxf>
    <dxf>
      <numFmt numFmtId="2" formatCode="0.00"/>
      <fill>
        <patternFill>
          <bgColor theme="5" tint="0.39994506668294322"/>
        </patternFill>
      </fill>
    </dxf>
    <dxf>
      <font>
        <color theme="1"/>
      </font>
      <numFmt numFmtId="2" formatCode="0.00"/>
      <fill>
        <patternFill>
          <bgColor theme="6" tint="0.39994506668294322"/>
        </patternFill>
      </fill>
    </dxf>
    <dxf>
      <font>
        <color theme="0" tint="-0.14996795556505021"/>
      </font>
      <fill>
        <patternFill patternType="solid">
          <bgColor theme="0" tint="-0.14996795556505021"/>
        </patternFill>
      </fill>
    </dxf>
    <dxf>
      <numFmt numFmtId="2" formatCode="0.00"/>
      <fill>
        <patternFill>
          <bgColor theme="5" tint="0.39994506668294322"/>
        </patternFill>
      </fill>
    </dxf>
    <dxf>
      <font>
        <color theme="1"/>
      </font>
      <numFmt numFmtId="2" formatCode="0.00"/>
      <fill>
        <patternFill>
          <bgColor theme="6" tint="0.39994506668294322"/>
        </patternFill>
      </fill>
    </dxf>
    <dxf>
      <font>
        <color theme="0" tint="-0.14996795556505021"/>
      </font>
      <fill>
        <patternFill patternType="solid">
          <bgColor theme="0" tint="-0.14996795556505021"/>
        </patternFill>
      </fill>
    </dxf>
    <dxf>
      <numFmt numFmtId="2" formatCode="0.00"/>
      <fill>
        <patternFill>
          <bgColor theme="5" tint="0.39994506668294322"/>
        </patternFill>
      </fill>
    </dxf>
    <dxf>
      <font>
        <color theme="1"/>
      </font>
      <numFmt numFmtId="2" formatCode="0.00"/>
      <fill>
        <patternFill>
          <bgColor theme="6" tint="0.39994506668294322"/>
        </patternFill>
      </fill>
    </dxf>
    <dxf>
      <font>
        <color theme="0" tint="-0.14996795556505021"/>
      </font>
      <fill>
        <patternFill patternType="solid">
          <bgColor theme="0" tint="-0.14996795556505021"/>
        </patternFill>
      </fill>
    </dxf>
    <dxf>
      <numFmt numFmtId="2" formatCode="0.00"/>
      <fill>
        <patternFill>
          <bgColor theme="6" tint="0.39994506668294322"/>
        </patternFill>
      </fill>
    </dxf>
    <dxf>
      <numFmt numFmtId="2" formatCode="0.00"/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0081D7"/>
      <color rgb="FF005A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4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7/relationships/slicerCache" Target="slicerCaches/slicerCache3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Radio" firstButton="1" fmlaLink="$E$44" lockText="1"/>
</file>

<file path=xl/ctrlProps/ctrlProp13.xml><?xml version="1.0" encoding="utf-8"?>
<formControlPr xmlns="http://schemas.microsoft.com/office/spreadsheetml/2009/9/main" objectType="Radio" checked="Checked" lockText="1"/>
</file>

<file path=xl/ctrlProps/ctrlProp14.xml><?xml version="1.0" encoding="utf-8"?>
<formControlPr xmlns="http://schemas.microsoft.com/office/spreadsheetml/2009/9/main" objectType="Radio" firstButton="1" fmlaLink="$E$45" lockText="1"/>
</file>

<file path=xl/ctrlProps/ctrlProp15.xml><?xml version="1.0" encoding="utf-8"?>
<formControlPr xmlns="http://schemas.microsoft.com/office/spreadsheetml/2009/9/main" objectType="Radio" checked="Checked" lockText="1"/>
</file>

<file path=xl/ctrlProps/ctrlProp16.xml><?xml version="1.0" encoding="utf-8"?>
<formControlPr xmlns="http://schemas.microsoft.com/office/spreadsheetml/2009/9/main" objectType="Radio" firstButton="1" fmlaLink="$E$46" lockText="1"/>
</file>

<file path=xl/ctrlProps/ctrlProp17.xml><?xml version="1.0" encoding="utf-8"?>
<formControlPr xmlns="http://schemas.microsoft.com/office/spreadsheetml/2009/9/main" objectType="Radio" checked="Checked" lockText="1"/>
</file>

<file path=xl/ctrlProps/ctrlProp18.xml><?xml version="1.0" encoding="utf-8"?>
<formControlPr xmlns="http://schemas.microsoft.com/office/spreadsheetml/2009/9/main" objectType="Radio" firstButton="1" fmlaLink="$E$47" lockText="1"/>
</file>

<file path=xl/ctrlProps/ctrlProp19.xml><?xml version="1.0" encoding="utf-8"?>
<formControlPr xmlns="http://schemas.microsoft.com/office/spreadsheetml/2009/9/main" objectType="Radio" checked="Checked" lockText="1"/>
</file>

<file path=xl/ctrlProps/ctrlProp20.xml><?xml version="1.0" encoding="utf-8"?>
<formControlPr xmlns="http://schemas.microsoft.com/office/spreadsheetml/2009/9/main" objectType="Radio" firstButton="1" fmlaLink="$E$48" lockText="1"/>
</file>

<file path=xl/ctrlProps/ctrlProp21.xml><?xml version="1.0" encoding="utf-8"?>
<formControlPr xmlns="http://schemas.microsoft.com/office/spreadsheetml/2009/9/main" objectType="Radio" checked="Checked" lockText="1"/>
</file>

<file path=xl/ctrlProps/ctrlProp22.xml><?xml version="1.0" encoding="utf-8"?>
<formControlPr xmlns="http://schemas.microsoft.com/office/spreadsheetml/2009/9/main" objectType="Radio" firstButton="1" fmlaLink="$F$43" lockText="1"/>
</file>

<file path=xl/ctrlProps/ctrlProp23.xml><?xml version="1.0" encoding="utf-8"?>
<formControlPr xmlns="http://schemas.microsoft.com/office/spreadsheetml/2009/9/main" objectType="Radio" checked="Checked" lockText="1"/>
</file>

<file path=xl/ctrlProps/ctrlProp24.xml><?xml version="1.0" encoding="utf-8"?>
<formControlPr xmlns="http://schemas.microsoft.com/office/spreadsheetml/2009/9/main" objectType="Radio" firstButton="1" fmlaLink="$F$44" lockText="1"/>
</file>

<file path=xl/ctrlProps/ctrlProp25.xml><?xml version="1.0" encoding="utf-8"?>
<formControlPr xmlns="http://schemas.microsoft.com/office/spreadsheetml/2009/9/main" objectType="Radio" checked="Checked" lockText="1"/>
</file>

<file path=xl/ctrlProps/ctrlProp26.xml><?xml version="1.0" encoding="utf-8"?>
<formControlPr xmlns="http://schemas.microsoft.com/office/spreadsheetml/2009/9/main" objectType="Radio" firstButton="1" fmlaLink="$F$45" lockText="1"/>
</file>

<file path=xl/ctrlProps/ctrlProp27.xml><?xml version="1.0" encoding="utf-8"?>
<formControlPr xmlns="http://schemas.microsoft.com/office/spreadsheetml/2009/9/main" objectType="Radio" checked="Checked" lockText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firstButton="1" fmlaLink="$F$46" lockText="1"/>
</file>

<file path=xl/ctrlProps/ctrlProp30.xml><?xml version="1.0" encoding="utf-8"?>
<formControlPr xmlns="http://schemas.microsoft.com/office/spreadsheetml/2009/9/main" objectType="Radio" checked="Checked" lockText="1"/>
</file>

<file path=xl/ctrlProps/ctrlProp31.xml><?xml version="1.0" encoding="utf-8"?>
<formControlPr xmlns="http://schemas.microsoft.com/office/spreadsheetml/2009/9/main" objectType="Radio" firstButton="1" fmlaLink="$F$47" lockText="1"/>
</file>

<file path=xl/ctrlProps/ctrlProp32.xml><?xml version="1.0" encoding="utf-8"?>
<formControlPr xmlns="http://schemas.microsoft.com/office/spreadsheetml/2009/9/main" objectType="Radio" checked="Checked" lockText="1"/>
</file>

<file path=xl/ctrlProps/ctrlProp33.xml><?xml version="1.0" encoding="utf-8"?>
<formControlPr xmlns="http://schemas.microsoft.com/office/spreadsheetml/2009/9/main" objectType="Radio" firstButton="1" fmlaLink="$F$48" lockText="1"/>
</file>

<file path=xl/ctrlProps/ctrlProp34.xml><?xml version="1.0" encoding="utf-8"?>
<formControlPr xmlns="http://schemas.microsoft.com/office/spreadsheetml/2009/9/main" objectType="Radio" checked="Checked" lockText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Radio" firstButton="1" fmlaLink="$D$41" lockText="1"/>
</file>

<file path=xl/ctrlProps/ctrlProp38.xml><?xml version="1.0" encoding="utf-8"?>
<formControlPr xmlns="http://schemas.microsoft.com/office/spreadsheetml/2009/9/main" objectType="Radio" checked="Checked" lockText="1"/>
</file>

<file path=xl/ctrlProps/ctrlProp39.xml><?xml version="1.0" encoding="utf-8"?>
<formControlPr xmlns="http://schemas.microsoft.com/office/spreadsheetml/2009/9/main" objectType="GBox" noThreeD="1"/>
</file>

<file path=xl/ctrlProps/ctrlProp40.xml><?xml version="1.0" encoding="utf-8"?>
<formControlPr xmlns="http://schemas.microsoft.com/office/spreadsheetml/2009/9/main" objectType="Radio" firstButton="1" fmlaLink="$E$43" lockText="1"/>
</file>

<file path=xl/ctrlProps/ctrlProp41.xml><?xml version="1.0" encoding="utf-8"?>
<formControlPr xmlns="http://schemas.microsoft.com/office/spreadsheetml/2009/9/main" objectType="Radio" checked="Checked" lockText="1"/>
</file>

<file path=xl/ctrlProps/ctrlProp42.xml><?xml version="1.0" encoding="utf-8"?>
<formControlPr xmlns="http://schemas.microsoft.com/office/spreadsheetml/2009/9/main" objectType="Radio" firstButton="1" fmlaLink="$D$49" lockText="1"/>
</file>

<file path=xl/ctrlProps/ctrlProp43.xml><?xml version="1.0" encoding="utf-8"?>
<formControlPr xmlns="http://schemas.microsoft.com/office/spreadsheetml/2009/9/main" objectType="Radio" checked="Checked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Drop" dropStyle="combo" dx="16" fmlaLink="#REF!" fmlaRange="Listas!$Q:$Q" noThreeD="1" sel="0" val="0"/>
</file>

<file path=xl/ctrlProps/ctrlProp62.xml><?xml version="1.0" encoding="utf-8"?>
<formControlPr xmlns="http://schemas.microsoft.com/office/spreadsheetml/2009/9/main" objectType="Drop" dropStyle="combo" dx="16" fmlaLink="#REF!" fmlaRange="Listas!$M:$M" noThreeD="1" sel="0" val="0"/>
</file>

<file path=xl/ctrlProps/ctrlProp63.xml><?xml version="1.0" encoding="utf-8"?>
<formControlPr xmlns="http://schemas.microsoft.com/office/spreadsheetml/2009/9/main" objectType="Drop" dropStyle="combo" dx="16" fmlaLink="#REF!" fmlaRange="Listas!$O:$O" noThreeD="1" sel="0" val="0"/>
</file>

<file path=xl/ctrlProps/ctrlProp64.xml><?xml version="1.0" encoding="utf-8"?>
<formControlPr xmlns="http://schemas.microsoft.com/office/spreadsheetml/2009/9/main" objectType="Drop" dropStyle="combo" dx="16" fmlaLink="#REF!" fmlaRange="Listas!$Q:$Q" noThreeD="1" sel="0" val="0"/>
</file>

<file path=xl/ctrlProps/ctrlProp65.xml><?xml version="1.0" encoding="utf-8"?>
<formControlPr xmlns="http://schemas.microsoft.com/office/spreadsheetml/2009/9/main" objectType="Drop" dropStyle="combo" dx="16" fmlaLink="#REF!" fmlaRange="Listas!$S:$S" noThreeD="1" sel="0" val="0"/>
</file>

<file path=xl/ctrlProps/ctrlProp66.xml><?xml version="1.0" encoding="utf-8"?>
<formControlPr xmlns="http://schemas.microsoft.com/office/spreadsheetml/2009/9/main" objectType="Drop" dropStyle="combo" dx="16" fmlaLink="#REF!" fmlaRange="Listas!$Q:$Q" noThreeD="1" sel="0" val="0"/>
</file>

<file path=xl/ctrlProps/ctrlProp67.xml><?xml version="1.0" encoding="utf-8"?>
<formControlPr xmlns="http://schemas.microsoft.com/office/spreadsheetml/2009/9/main" objectType="Drop" dropStyle="combo" dx="16" fmlaLink="#REF!" fmlaRange="Listas!$M:$M" noThreeD="1" sel="0" val="0"/>
</file>

<file path=xl/ctrlProps/ctrlProp68.xml><?xml version="1.0" encoding="utf-8"?>
<formControlPr xmlns="http://schemas.microsoft.com/office/spreadsheetml/2009/9/main" objectType="Drop" dropStyle="combo" dx="16" fmlaLink="#REF!" fmlaRange="Listas!$O:$O" noThreeD="1" sel="0" val="0"/>
</file>

<file path=xl/ctrlProps/ctrlProp69.xml><?xml version="1.0" encoding="utf-8"?>
<formControlPr xmlns="http://schemas.microsoft.com/office/spreadsheetml/2009/9/main" objectType="Drop" dropStyle="combo" dx="16" fmlaLink="#REF!" fmlaRange="Listas!$Q:$Q" noThreeD="1" sel="0" val="0"/>
</file>

<file path=xl/ctrlProps/ctrlProp70.xml><?xml version="1.0" encoding="utf-8"?>
<formControlPr xmlns="http://schemas.microsoft.com/office/spreadsheetml/2009/9/main" objectType="Drop" dropStyle="combo" dx="16" fmlaLink="#REF!" fmlaRange="Listas!$S:$S" noThreeD="1" sel="0" val="0"/>
</file>

<file path=xl/ctrlProps/ctrlProp71.xml><?xml version="1.0" encoding="utf-8"?>
<formControlPr xmlns="http://schemas.microsoft.com/office/spreadsheetml/2009/9/main" objectType="Drop" dropStyle="combo" dx="16" fmlaLink="#REF!" fmlaRange="Listas!$Q:$Q" noThreeD="1" sel="0" val="0"/>
</file>

<file path=xl/ctrlProps/ctrlProp72.xml><?xml version="1.0" encoding="utf-8"?>
<formControlPr xmlns="http://schemas.microsoft.com/office/spreadsheetml/2009/9/main" objectType="Drop" dropStyle="combo" dx="16" fmlaLink="#REF!" fmlaRange="Listas!$M:$M" noThreeD="1" sel="0" val="0"/>
</file>

<file path=xl/ctrlProps/ctrlProp73.xml><?xml version="1.0" encoding="utf-8"?>
<formControlPr xmlns="http://schemas.microsoft.com/office/spreadsheetml/2009/9/main" objectType="Drop" dropStyle="combo" dx="16" fmlaLink="#REF!" fmlaRange="Listas!$O:$O" noThreeD="1" sel="0" val="0"/>
</file>

<file path=xl/ctrlProps/ctrlProp74.xml><?xml version="1.0" encoding="utf-8"?>
<formControlPr xmlns="http://schemas.microsoft.com/office/spreadsheetml/2009/9/main" objectType="Drop" dropStyle="combo" dx="16" fmlaLink="#REF!" fmlaRange="Listas!$Q:$Q" noThreeD="1" sel="0" val="0"/>
</file>

<file path=xl/ctrlProps/ctrlProp75.xml><?xml version="1.0" encoding="utf-8"?>
<formControlPr xmlns="http://schemas.microsoft.com/office/spreadsheetml/2009/9/main" objectType="Drop" dropStyle="combo" dx="16" fmlaLink="#REF!" fmlaRange="Listas!$S:$S" noThreeD="1" sel="0" val="0"/>
</file>

<file path=xl/ctrlProps/ctrlProp76.xml><?xml version="1.0" encoding="utf-8"?>
<formControlPr xmlns="http://schemas.microsoft.com/office/spreadsheetml/2009/9/main" objectType="Drop" dropStyle="combo" dx="16" fmlaLink="#REF!" fmlaRange="Listas!$Q:$Q" noThreeD="1" sel="0" val="0"/>
</file>

<file path=xl/ctrlProps/ctrlProp77.xml><?xml version="1.0" encoding="utf-8"?>
<formControlPr xmlns="http://schemas.microsoft.com/office/spreadsheetml/2009/9/main" objectType="Drop" dropStyle="combo" dx="16" fmlaLink="#REF!" fmlaRange="Listas!$M:$M" noThreeD="1" sel="0" val="0"/>
</file>

<file path=xl/ctrlProps/ctrlProp78.xml><?xml version="1.0" encoding="utf-8"?>
<formControlPr xmlns="http://schemas.microsoft.com/office/spreadsheetml/2009/9/main" objectType="Drop" dropStyle="combo" dx="16" fmlaLink="#REF!" fmlaRange="Listas!$O:$O" noThreeD="1" sel="0" val="0"/>
</file>

<file path=xl/ctrlProps/ctrlProp79.xml><?xml version="1.0" encoding="utf-8"?>
<formControlPr xmlns="http://schemas.microsoft.com/office/spreadsheetml/2009/9/main" objectType="Drop" dropStyle="combo" dx="16" fmlaLink="#REF!" fmlaRange="Listas!$Q:$Q" noThreeD="1" sel="0" val="0"/>
</file>

<file path=xl/ctrlProps/ctrlProp80.xml><?xml version="1.0" encoding="utf-8"?>
<formControlPr xmlns="http://schemas.microsoft.com/office/spreadsheetml/2009/9/main" objectType="Drop" dropStyle="combo" dx="16" fmlaLink="#REF!" fmlaRange="Listas!$S:$S" noThreeD="1" sel="0" val="0"/>
</file>

<file path=xl/ctrlProps/ctrlProp81.xml><?xml version="1.0" encoding="utf-8"?>
<formControlPr xmlns="http://schemas.microsoft.com/office/spreadsheetml/2009/9/main" objectType="GBox" noThreeD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GBox" noThreeD="1"/>
</file>

<file path=xl/ctrlProps/ctrlProp85.xml><?xml version="1.0" encoding="utf-8"?>
<formControlPr xmlns="http://schemas.microsoft.com/office/spreadsheetml/2009/9/main" objectType="GBox" noThreeD="1"/>
</file>

<file path=xl/ctrlProps/ctrlProp86.xml><?xml version="1.0" encoding="utf-8"?>
<formControlPr xmlns="http://schemas.microsoft.com/office/spreadsheetml/2009/9/main" objectType="GBox" noThreeD="1"/>
</file>

<file path=xl/ctrlProps/ctrlProp87.xml><?xml version="1.0" encoding="utf-8"?>
<formControlPr xmlns="http://schemas.microsoft.com/office/spreadsheetml/2009/9/main" objectType="GBox" noThreeD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GBox" noThreeD="1"/>
</file>

<file path=xl/ctrlProps/ctrlProp90.xml><?xml version="1.0" encoding="utf-8"?>
<formControlPr xmlns="http://schemas.microsoft.com/office/spreadsheetml/2009/9/main" objectType="GBox" noThreeD="1"/>
</file>

<file path=xl/ctrlProps/ctrlProp91.xml><?xml version="1.0" encoding="utf-8"?>
<formControlPr xmlns="http://schemas.microsoft.com/office/spreadsheetml/2009/9/main" objectType="GBox" noThreeD="1"/>
</file>

<file path=xl/ctrlProps/ctrlProp92.xml><?xml version="1.0" encoding="utf-8"?>
<formControlPr xmlns="http://schemas.microsoft.com/office/spreadsheetml/2009/9/main" objectType="GBox" noThreeD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GBox" noThreeD="1"/>
</file>

<file path=xl/ctrlProps/ctrlProp95.xml><?xml version="1.0" encoding="utf-8"?>
<formControlPr xmlns="http://schemas.microsoft.com/office/spreadsheetml/2009/9/main" objectType="GBox" noThreeD="1"/>
</file>

<file path=xl/ctrlProps/ctrlProp96.xml><?xml version="1.0" encoding="utf-8"?>
<formControlPr xmlns="http://schemas.microsoft.com/office/spreadsheetml/2009/9/main" objectType="Drop" dropStyle="combo" dx="16" fmlaLink="#REF!" fmlaRange="[1]Listas!$Q:$Q" noThreeD="1" sel="0" val="0"/>
</file>

<file path=xl/ctrlProps/ctrlProp97.xml><?xml version="1.0" encoding="utf-8"?>
<formControlPr xmlns="http://schemas.microsoft.com/office/spreadsheetml/2009/9/main" objectType="Drop" dropStyle="combo" dx="16" fmlaLink="#REF!" fmlaRange="[1]Listas!$M:$M" noThreeD="1" sel="0" val="0"/>
</file>

<file path=xl/ctrlProps/ctrlProp98.xml><?xml version="1.0" encoding="utf-8"?>
<formControlPr xmlns="http://schemas.microsoft.com/office/spreadsheetml/2009/9/main" objectType="Drop" dropStyle="combo" dx="16" fmlaLink="#REF!" fmlaRange="[1]Listas!$O:$O" noThreeD="1" sel="0" val="0"/>
</file>

<file path=xl/ctrlProps/ctrlProp99.xml><?xml version="1.0" encoding="utf-8"?>
<formControlPr xmlns="http://schemas.microsoft.com/office/spreadsheetml/2009/9/main" objectType="Drop" dropStyle="combo" dx="16" fmlaLink="#REF!" fmlaRange="[1]Listas!$Q:$Q" noThreeD="1" sel="0" val="0"/>
</file>

<file path=xl/ctrlProps/ctrlProp100.xml><?xml version="1.0" encoding="utf-8"?>
<formControlPr xmlns="http://schemas.microsoft.com/office/spreadsheetml/2009/9/main" objectType="Drop" dropStyle="combo" dx="16" fmlaLink="#REF!" fmlaRange="[1]Listas!$S:$S" noThreeD="1" sel="0" val="0"/>
</file>

<file path=xl/ctrlProps/ctrlProp101.xml><?xml version="1.0" encoding="utf-8"?>
<formControlPr xmlns="http://schemas.microsoft.com/office/spreadsheetml/2009/9/main" objectType="Drop" dropStyle="combo" dx="16" fmlaLink="#REF!" fmlaRange="[1]Listas!$Q:$Q" noThreeD="1" sel="0" val="0"/>
</file>

<file path=xl/ctrlProps/ctrlProp102.xml><?xml version="1.0" encoding="utf-8"?>
<formControlPr xmlns="http://schemas.microsoft.com/office/spreadsheetml/2009/9/main" objectType="Drop" dropStyle="combo" dx="16" fmlaLink="#REF!" fmlaRange="[1]Listas!$M:$M" noThreeD="1" sel="0" val="0"/>
</file>

<file path=xl/ctrlProps/ctrlProp103.xml><?xml version="1.0" encoding="utf-8"?>
<formControlPr xmlns="http://schemas.microsoft.com/office/spreadsheetml/2009/9/main" objectType="Drop" dropStyle="combo" dx="16" fmlaLink="#REF!" fmlaRange="[1]Listas!$O:$O" noThreeD="1" sel="0" val="0"/>
</file>

<file path=xl/ctrlProps/ctrlProp104.xml><?xml version="1.0" encoding="utf-8"?>
<formControlPr xmlns="http://schemas.microsoft.com/office/spreadsheetml/2009/9/main" objectType="Drop" dropStyle="combo" dx="16" fmlaLink="#REF!" fmlaRange="[1]Listas!$Q:$Q" noThreeD="1" sel="0" val="0"/>
</file>

<file path=xl/ctrlProps/ctrlProp105.xml><?xml version="1.0" encoding="utf-8"?>
<formControlPr xmlns="http://schemas.microsoft.com/office/spreadsheetml/2009/9/main" objectType="Drop" dropStyle="combo" dx="16" fmlaLink="#REF!" fmlaRange="[1]Listas!$S:$S" noThreeD="1" sel="0" val="0"/>
</file>

<file path=xl/ctrlProps/ctrlProp106.xml><?xml version="1.0" encoding="utf-8"?>
<formControlPr xmlns="http://schemas.microsoft.com/office/spreadsheetml/2009/9/main" objectType="Drop" dropStyle="combo" dx="16" fmlaLink="#REF!" fmlaRange="[1]Listas!$Q:$Q" noThreeD="1" sel="0" val="0"/>
</file>

<file path=xl/ctrlProps/ctrlProp107.xml><?xml version="1.0" encoding="utf-8"?>
<formControlPr xmlns="http://schemas.microsoft.com/office/spreadsheetml/2009/9/main" objectType="Drop" dropStyle="combo" dx="16" fmlaLink="#REF!" fmlaRange="[1]Listas!$M:$M" noThreeD="1" sel="0" val="0"/>
</file>

<file path=xl/ctrlProps/ctrlProp108.xml><?xml version="1.0" encoding="utf-8"?>
<formControlPr xmlns="http://schemas.microsoft.com/office/spreadsheetml/2009/9/main" objectType="Drop" dropStyle="combo" dx="16" fmlaLink="#REF!" fmlaRange="[1]Listas!$O:$O" noThreeD="1" sel="0" val="0"/>
</file>

<file path=xl/ctrlProps/ctrlProp109.xml><?xml version="1.0" encoding="utf-8"?>
<formControlPr xmlns="http://schemas.microsoft.com/office/spreadsheetml/2009/9/main" objectType="Drop" dropStyle="combo" dx="16" fmlaLink="#REF!" fmlaRange="[1]Listas!$Q:$Q" noThreeD="1" sel="0" val="0"/>
</file>

<file path=xl/ctrlProps/ctrlProp110.xml><?xml version="1.0" encoding="utf-8"?>
<formControlPr xmlns="http://schemas.microsoft.com/office/spreadsheetml/2009/9/main" objectType="Drop" dropStyle="combo" dx="16" fmlaLink="#REF!" fmlaRange="[1]Listas!$S:$S" noThreeD="1" sel="0" val="0"/>
</file>

<file path=xl/ctrlProps/ctrlProp111.xml><?xml version="1.0" encoding="utf-8"?>
<formControlPr xmlns="http://schemas.microsoft.com/office/spreadsheetml/2009/9/main" objectType="Drop" dropStyle="combo" dx="16" fmlaLink="#REF!" fmlaRange="[1]Listas!$Q:$Q" noThreeD="1" sel="0" val="0"/>
</file>

<file path=xl/ctrlProps/ctrlProp112.xml><?xml version="1.0" encoding="utf-8"?>
<formControlPr xmlns="http://schemas.microsoft.com/office/spreadsheetml/2009/9/main" objectType="Drop" dropStyle="combo" dx="16" fmlaLink="#REF!" fmlaRange="[1]Listas!$M:$M" noThreeD="1" sel="0" val="0"/>
</file>

<file path=xl/ctrlProps/ctrlProp113.xml><?xml version="1.0" encoding="utf-8"?>
<formControlPr xmlns="http://schemas.microsoft.com/office/spreadsheetml/2009/9/main" objectType="Drop" dropStyle="combo" dx="16" fmlaLink="#REF!" fmlaRange="[1]Listas!$O:$O" noThreeD="1" sel="0" val="0"/>
</file>

<file path=xl/ctrlProps/ctrlProp114.xml><?xml version="1.0" encoding="utf-8"?>
<formControlPr xmlns="http://schemas.microsoft.com/office/spreadsheetml/2009/9/main" objectType="Drop" dropStyle="combo" dx="16" fmlaLink="#REF!" fmlaRange="[1]Listas!$Q:$Q" noThreeD="1" sel="0" val="0"/>
</file>

<file path=xl/ctrlProps/ctrlProp115.xml><?xml version="1.0" encoding="utf-8"?>
<formControlPr xmlns="http://schemas.microsoft.com/office/spreadsheetml/2009/9/main" objectType="Drop" dropStyle="combo" dx="16" fmlaLink="#REF!" fmlaRange="[1]Listas!$S:$S" noThreeD="1" sel="0" val="0"/>
</file>

<file path=xl/ctrlProps/ctrlProp116.xml><?xml version="1.0" encoding="utf-8"?>
<formControlPr xmlns="http://schemas.microsoft.com/office/spreadsheetml/2009/9/main" objectType="GBox" noThreeD="1"/>
</file>

<file path=xl/ctrlProps/ctrlProp117.xml><?xml version="1.0" encoding="utf-8"?>
<formControlPr xmlns="http://schemas.microsoft.com/office/spreadsheetml/2009/9/main" objectType="GBox" noThreeD="1"/>
</file>

<file path=xl/ctrlProps/ctrlProp118.xml><?xml version="1.0" encoding="utf-8"?>
<formControlPr xmlns="http://schemas.microsoft.com/office/spreadsheetml/2009/9/main" objectType="GBox" noThreeD="1"/>
</file>

<file path=xl/ctrlProps/ctrlProp119.xml><?xml version="1.0" encoding="utf-8"?>
<formControlPr xmlns="http://schemas.microsoft.com/office/spreadsheetml/2009/9/main" objectType="GBox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GBox" noThreeD="1"/>
</file>

<file path=xl/ctrlProps/ctrlProp122.xml><?xml version="1.0" encoding="utf-8"?>
<formControlPr xmlns="http://schemas.microsoft.com/office/spreadsheetml/2009/9/main" objectType="GBox" noThreeD="1"/>
</file>

<file path=xl/ctrlProps/ctrlProp123.xml><?xml version="1.0" encoding="utf-8"?>
<formControlPr xmlns="http://schemas.microsoft.com/office/spreadsheetml/2009/9/main" objectType="GBox" noThreeD="1"/>
</file>

<file path=xl/ctrlProps/ctrlProp124.xml><?xml version="1.0" encoding="utf-8"?>
<formControlPr xmlns="http://schemas.microsoft.com/office/spreadsheetml/2009/9/main" objectType="GBox" noThreeD="1"/>
</file>

<file path=xl/ctrlProps/ctrlProp125.xml><?xml version="1.0" encoding="utf-8"?>
<formControlPr xmlns="http://schemas.microsoft.com/office/spreadsheetml/2009/9/main" objectType="GBox" noThreeD="1"/>
</file>

<file path=xl/ctrlProps/ctrlProp126.xml><?xml version="1.0" encoding="utf-8"?>
<formControlPr xmlns="http://schemas.microsoft.com/office/spreadsheetml/2009/9/main" objectType="GBox" noThreeD="1"/>
</file>

<file path=xl/ctrlProps/ctrlProp127.xml><?xml version="1.0" encoding="utf-8"?>
<formControlPr xmlns="http://schemas.microsoft.com/office/spreadsheetml/2009/9/main" objectType="GBox" noThreeD="1"/>
</file>

<file path=xl/ctrlProps/ctrlProp128.xml><?xml version="1.0" encoding="utf-8"?>
<formControlPr xmlns="http://schemas.microsoft.com/office/spreadsheetml/2009/9/main" objectType="GBox" noThreeD="1"/>
</file>

<file path=xl/ctrlProps/ctrlProp129.xml><?xml version="1.0" encoding="utf-8"?>
<formControlPr xmlns="http://schemas.microsoft.com/office/spreadsheetml/2009/9/main" objectType="GBox" noThreeD="1"/>
</file>

<file path=xl/ctrlProps/ctrlProp130.xml><?xml version="1.0" encoding="utf-8"?>
<formControlPr xmlns="http://schemas.microsoft.com/office/spreadsheetml/2009/9/main" objectType="GBox" noThreeD="1"/>
</file>

<file path=xl/ctrlProps/ctrlProp131.xml><?xml version="1.0" encoding="utf-8"?>
<formControlPr xmlns="http://schemas.microsoft.com/office/spreadsheetml/2009/9/main" objectType="Drop" dropStyle="combo" dx="16" fmlaLink="#REF!" fmlaRange="[2]Listas!$Q:$Q" noThreeD="1" sel="0" val="0"/>
</file>

<file path=xl/ctrlProps/ctrlProp132.xml><?xml version="1.0" encoding="utf-8"?>
<formControlPr xmlns="http://schemas.microsoft.com/office/spreadsheetml/2009/9/main" objectType="Drop" dropStyle="combo" dx="16" fmlaLink="#REF!" fmlaRange="[2]Listas!$M:$M" noThreeD="1" sel="0" val="0"/>
</file>

<file path=xl/ctrlProps/ctrlProp133.xml><?xml version="1.0" encoding="utf-8"?>
<formControlPr xmlns="http://schemas.microsoft.com/office/spreadsheetml/2009/9/main" objectType="Drop" dropStyle="combo" dx="16" fmlaLink="#REF!" fmlaRange="[2]Listas!$O:$O" noThreeD="1" sel="0" val="0"/>
</file>

<file path=xl/ctrlProps/ctrlProp134.xml><?xml version="1.0" encoding="utf-8"?>
<formControlPr xmlns="http://schemas.microsoft.com/office/spreadsheetml/2009/9/main" objectType="Drop" dropStyle="combo" dx="16" fmlaLink="#REF!" fmlaRange="[2]Listas!$Q:$Q" noThreeD="1" sel="0" val="0"/>
</file>

<file path=xl/ctrlProps/ctrlProp135.xml><?xml version="1.0" encoding="utf-8"?>
<formControlPr xmlns="http://schemas.microsoft.com/office/spreadsheetml/2009/9/main" objectType="Drop" dropStyle="combo" dx="16" fmlaLink="#REF!" fmlaRange="[2]Listas!$S:$S" noThreeD="1" sel="0" val="0"/>
</file>

<file path=xl/ctrlProps/ctrlProp136.xml><?xml version="1.0" encoding="utf-8"?>
<formControlPr xmlns="http://schemas.microsoft.com/office/spreadsheetml/2009/9/main" objectType="Drop" dropStyle="combo" dx="16" fmlaLink="#REF!" fmlaRange="[2]Listas!$Q:$Q" noThreeD="1" sel="0" val="0"/>
</file>

<file path=xl/ctrlProps/ctrlProp137.xml><?xml version="1.0" encoding="utf-8"?>
<formControlPr xmlns="http://schemas.microsoft.com/office/spreadsheetml/2009/9/main" objectType="Drop" dropStyle="combo" dx="16" fmlaLink="#REF!" fmlaRange="[2]Listas!$M:$M" noThreeD="1" sel="0" val="0"/>
</file>

<file path=xl/ctrlProps/ctrlProp138.xml><?xml version="1.0" encoding="utf-8"?>
<formControlPr xmlns="http://schemas.microsoft.com/office/spreadsheetml/2009/9/main" objectType="Drop" dropStyle="combo" dx="16" fmlaLink="#REF!" fmlaRange="[2]Listas!$O:$O" noThreeD="1" sel="0" val="0"/>
</file>

<file path=xl/ctrlProps/ctrlProp139.xml><?xml version="1.0" encoding="utf-8"?>
<formControlPr xmlns="http://schemas.microsoft.com/office/spreadsheetml/2009/9/main" objectType="Drop" dropStyle="combo" dx="16" fmlaLink="#REF!" fmlaRange="[2]Listas!$Q:$Q" noThreeD="1" sel="0" val="0"/>
</file>

<file path=xl/ctrlProps/ctrlProp140.xml><?xml version="1.0" encoding="utf-8"?>
<formControlPr xmlns="http://schemas.microsoft.com/office/spreadsheetml/2009/9/main" objectType="Drop" dropStyle="combo" dx="16" fmlaLink="#REF!" fmlaRange="[2]Listas!$S:$S" noThreeD="1" sel="0" val="0"/>
</file>

<file path=xl/ctrlProps/ctrlProp141.xml><?xml version="1.0" encoding="utf-8"?>
<formControlPr xmlns="http://schemas.microsoft.com/office/spreadsheetml/2009/9/main" objectType="Drop" dropStyle="combo" dx="16" fmlaLink="#REF!" fmlaRange="[2]Listas!$Q:$Q" noThreeD="1" sel="0" val="0"/>
</file>

<file path=xl/ctrlProps/ctrlProp142.xml><?xml version="1.0" encoding="utf-8"?>
<formControlPr xmlns="http://schemas.microsoft.com/office/spreadsheetml/2009/9/main" objectType="Drop" dropStyle="combo" dx="16" fmlaLink="#REF!" fmlaRange="[2]Listas!$M:$M" noThreeD="1" sel="0" val="0"/>
</file>

<file path=xl/ctrlProps/ctrlProp143.xml><?xml version="1.0" encoding="utf-8"?>
<formControlPr xmlns="http://schemas.microsoft.com/office/spreadsheetml/2009/9/main" objectType="Drop" dropStyle="combo" dx="16" fmlaLink="#REF!" fmlaRange="[2]Listas!$O:$O" noThreeD="1" sel="0" val="0"/>
</file>

<file path=xl/ctrlProps/ctrlProp144.xml><?xml version="1.0" encoding="utf-8"?>
<formControlPr xmlns="http://schemas.microsoft.com/office/spreadsheetml/2009/9/main" objectType="Drop" dropStyle="combo" dx="16" fmlaLink="#REF!" fmlaRange="[2]Listas!$Q:$Q" noThreeD="1" sel="0" val="0"/>
</file>

<file path=xl/ctrlProps/ctrlProp145.xml><?xml version="1.0" encoding="utf-8"?>
<formControlPr xmlns="http://schemas.microsoft.com/office/spreadsheetml/2009/9/main" objectType="Drop" dropStyle="combo" dx="16" fmlaLink="#REF!" fmlaRange="[2]Listas!$S:$S" noThreeD="1" sel="0" val="0"/>
</file>

<file path=xl/ctrlProps/ctrlProp146.xml><?xml version="1.0" encoding="utf-8"?>
<formControlPr xmlns="http://schemas.microsoft.com/office/spreadsheetml/2009/9/main" objectType="Drop" dropStyle="combo" dx="16" fmlaLink="#REF!" fmlaRange="[2]Listas!$Q:$Q" noThreeD="1" sel="0" val="0"/>
</file>

<file path=xl/ctrlProps/ctrlProp147.xml><?xml version="1.0" encoding="utf-8"?>
<formControlPr xmlns="http://schemas.microsoft.com/office/spreadsheetml/2009/9/main" objectType="Drop" dropStyle="combo" dx="16" fmlaLink="#REF!" fmlaRange="[2]Listas!$M:$M" noThreeD="1" sel="0" val="0"/>
</file>

<file path=xl/ctrlProps/ctrlProp148.xml><?xml version="1.0" encoding="utf-8"?>
<formControlPr xmlns="http://schemas.microsoft.com/office/spreadsheetml/2009/9/main" objectType="Drop" dropStyle="combo" dx="16" fmlaLink="#REF!" fmlaRange="[2]Listas!$O:$O" noThreeD="1" sel="0" val="0"/>
</file>

<file path=xl/ctrlProps/ctrlProp149.xml><?xml version="1.0" encoding="utf-8"?>
<formControlPr xmlns="http://schemas.microsoft.com/office/spreadsheetml/2009/9/main" objectType="Drop" dropStyle="combo" dx="16" fmlaLink="#REF!" fmlaRange="[2]Listas!$Q:$Q" noThreeD="1" sel="0" val="0"/>
</file>

<file path=xl/ctrlProps/ctrlProp150.xml><?xml version="1.0" encoding="utf-8"?>
<formControlPr xmlns="http://schemas.microsoft.com/office/spreadsheetml/2009/9/main" objectType="Drop" dropStyle="combo" dx="16" fmlaLink="#REF!" fmlaRange="[2]Listas!$S:$S" noThreeD="1" sel="0" val="0"/>
</file>

<file path=xl/ctrlProps/ctrlProp151.xml><?xml version="1.0" encoding="utf-8"?>
<formControlPr xmlns="http://schemas.microsoft.com/office/spreadsheetml/2009/9/main" objectType="GBox" noThreeD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GBox" noThreeD="1"/>
</file>

<file path=xl/ctrlProps/ctrlProp154.xml><?xml version="1.0" encoding="utf-8"?>
<formControlPr xmlns="http://schemas.microsoft.com/office/spreadsheetml/2009/9/main" objectType="GBox" noThreeD="1"/>
</file>

<file path=xl/ctrlProps/ctrlProp155.xml><?xml version="1.0" encoding="utf-8"?>
<formControlPr xmlns="http://schemas.microsoft.com/office/spreadsheetml/2009/9/main" objectType="GBox" noThreeD="1"/>
</file>

<file path=xl/ctrlProps/ctrlProp156.xml><?xml version="1.0" encoding="utf-8"?>
<formControlPr xmlns="http://schemas.microsoft.com/office/spreadsheetml/2009/9/main" objectType="GBox" noThreeD="1"/>
</file>

<file path=xl/ctrlProps/ctrlProp157.xml><?xml version="1.0" encoding="utf-8"?>
<formControlPr xmlns="http://schemas.microsoft.com/office/spreadsheetml/2009/9/main" objectType="GBox" noThreeD="1"/>
</file>

<file path=xl/ctrlProps/ctrlProp158.xml><?xml version="1.0" encoding="utf-8"?>
<formControlPr xmlns="http://schemas.microsoft.com/office/spreadsheetml/2009/9/main" objectType="GBox" noThreeD="1"/>
</file>

<file path=xl/ctrlProps/ctrlProp159.xml><?xml version="1.0" encoding="utf-8"?>
<formControlPr xmlns="http://schemas.microsoft.com/office/spreadsheetml/2009/9/main" objectType="GBox" noThreeD="1"/>
</file>

<file path=xl/ctrlProps/ctrlProp160.xml><?xml version="1.0" encoding="utf-8"?>
<formControlPr xmlns="http://schemas.microsoft.com/office/spreadsheetml/2009/9/main" objectType="GBox" noThreeD="1"/>
</file>

<file path=xl/ctrlProps/ctrlProp161.xml><?xml version="1.0" encoding="utf-8"?>
<formControlPr xmlns="http://schemas.microsoft.com/office/spreadsheetml/2009/9/main" objectType="GBox" noThreeD="1"/>
</file>

<file path=xl/ctrlProps/ctrlProp162.xml><?xml version="1.0" encoding="utf-8"?>
<formControlPr xmlns="http://schemas.microsoft.com/office/spreadsheetml/2009/9/main" objectType="GBox" noThreeD="1"/>
</file>

<file path=xl/ctrlProps/ctrlProp163.xml><?xml version="1.0" encoding="utf-8"?>
<formControlPr xmlns="http://schemas.microsoft.com/office/spreadsheetml/2009/9/main" objectType="GBox" noThreeD="1"/>
</file>

<file path=xl/ctrlProps/ctrlProp164.xml><?xml version="1.0" encoding="utf-8"?>
<formControlPr xmlns="http://schemas.microsoft.com/office/spreadsheetml/2009/9/main" objectType="GBox" noThreeD="1"/>
</file>

<file path=xl/ctrlProps/ctrlProp165.xml><?xml version="1.0" encoding="utf-8"?>
<formControlPr xmlns="http://schemas.microsoft.com/office/spreadsheetml/2009/9/main" objectType="GBox" noThreeD="1"/>
</file>

<file path=xl/ctrlProps/ctrlProp166.xml><?xml version="1.0" encoding="utf-8"?>
<formControlPr xmlns="http://schemas.microsoft.com/office/spreadsheetml/2009/9/main" objectType="Drop" dropStyle="combo" dx="16" fmlaLink="#REF!" fmlaRange="[2]Listas!$Q:$Q" noThreeD="1" sel="0" val="0"/>
</file>

<file path=xl/ctrlProps/ctrlProp167.xml><?xml version="1.0" encoding="utf-8"?>
<formControlPr xmlns="http://schemas.microsoft.com/office/spreadsheetml/2009/9/main" objectType="Drop" dropStyle="combo" dx="16" fmlaLink="#REF!" fmlaRange="[2]Listas!$M:$M" noThreeD="1" sel="0" val="0"/>
</file>

<file path=xl/ctrlProps/ctrlProp168.xml><?xml version="1.0" encoding="utf-8"?>
<formControlPr xmlns="http://schemas.microsoft.com/office/spreadsheetml/2009/9/main" objectType="Drop" dropStyle="combo" dx="16" fmlaLink="#REF!" fmlaRange="[2]Listas!$O:$O" noThreeD="1" sel="0" val="0"/>
</file>

<file path=xl/ctrlProps/ctrlProp169.xml><?xml version="1.0" encoding="utf-8"?>
<formControlPr xmlns="http://schemas.microsoft.com/office/spreadsheetml/2009/9/main" objectType="Drop" dropStyle="combo" dx="16" fmlaLink="#REF!" fmlaRange="[2]Listas!$Q:$Q" noThreeD="1" sel="0" val="0"/>
</file>

<file path=xl/ctrlProps/ctrlProp170.xml><?xml version="1.0" encoding="utf-8"?>
<formControlPr xmlns="http://schemas.microsoft.com/office/spreadsheetml/2009/9/main" objectType="Drop" dropStyle="combo" dx="16" fmlaLink="#REF!" fmlaRange="[2]Listas!$S:$S" noThreeD="1" sel="0" val="0"/>
</file>

<file path=xl/ctrlProps/ctrlProp171.xml><?xml version="1.0" encoding="utf-8"?>
<formControlPr xmlns="http://schemas.microsoft.com/office/spreadsheetml/2009/9/main" objectType="Drop" dropStyle="combo" dx="16" fmlaLink="#REF!" fmlaRange="[2]Listas!$Q:$Q" noThreeD="1" sel="0" val="0"/>
</file>

<file path=xl/ctrlProps/ctrlProp172.xml><?xml version="1.0" encoding="utf-8"?>
<formControlPr xmlns="http://schemas.microsoft.com/office/spreadsheetml/2009/9/main" objectType="Drop" dropStyle="combo" dx="16" fmlaLink="#REF!" fmlaRange="[2]Listas!$M:$M" noThreeD="1" sel="0" val="0"/>
</file>

<file path=xl/ctrlProps/ctrlProp173.xml><?xml version="1.0" encoding="utf-8"?>
<formControlPr xmlns="http://schemas.microsoft.com/office/spreadsheetml/2009/9/main" objectType="Drop" dropStyle="combo" dx="16" fmlaLink="#REF!" fmlaRange="[2]Listas!$O:$O" noThreeD="1" sel="0" val="0"/>
</file>

<file path=xl/ctrlProps/ctrlProp174.xml><?xml version="1.0" encoding="utf-8"?>
<formControlPr xmlns="http://schemas.microsoft.com/office/spreadsheetml/2009/9/main" objectType="Drop" dropStyle="combo" dx="16" fmlaLink="#REF!" fmlaRange="[2]Listas!$Q:$Q" noThreeD="1" sel="0" val="0"/>
</file>

<file path=xl/ctrlProps/ctrlProp175.xml><?xml version="1.0" encoding="utf-8"?>
<formControlPr xmlns="http://schemas.microsoft.com/office/spreadsheetml/2009/9/main" objectType="Drop" dropStyle="combo" dx="16" fmlaLink="#REF!" fmlaRange="[2]Listas!$S:$S" noThreeD="1" sel="0" val="0"/>
</file>

<file path=xl/ctrlProps/ctrlProp176.xml><?xml version="1.0" encoding="utf-8"?>
<formControlPr xmlns="http://schemas.microsoft.com/office/spreadsheetml/2009/9/main" objectType="Drop" dropStyle="combo" dx="16" fmlaLink="#REF!" fmlaRange="[2]Listas!$Q:$Q" noThreeD="1" sel="0" val="0"/>
</file>

<file path=xl/ctrlProps/ctrlProp177.xml><?xml version="1.0" encoding="utf-8"?>
<formControlPr xmlns="http://schemas.microsoft.com/office/spreadsheetml/2009/9/main" objectType="Drop" dropStyle="combo" dx="16" fmlaLink="#REF!" fmlaRange="[2]Listas!$M:$M" noThreeD="1" sel="0" val="0"/>
</file>

<file path=xl/ctrlProps/ctrlProp178.xml><?xml version="1.0" encoding="utf-8"?>
<formControlPr xmlns="http://schemas.microsoft.com/office/spreadsheetml/2009/9/main" objectType="Drop" dropStyle="combo" dx="16" fmlaLink="#REF!" fmlaRange="[2]Listas!$O:$O" noThreeD="1" sel="0" val="0"/>
</file>

<file path=xl/ctrlProps/ctrlProp179.xml><?xml version="1.0" encoding="utf-8"?>
<formControlPr xmlns="http://schemas.microsoft.com/office/spreadsheetml/2009/9/main" objectType="Drop" dropStyle="combo" dx="16" fmlaLink="#REF!" fmlaRange="[2]Listas!$Q:$Q" noThreeD="1" sel="0" val="0"/>
</file>

<file path=xl/ctrlProps/ctrlProp180.xml><?xml version="1.0" encoding="utf-8"?>
<formControlPr xmlns="http://schemas.microsoft.com/office/spreadsheetml/2009/9/main" objectType="Drop" dropStyle="combo" dx="16" fmlaLink="#REF!" fmlaRange="[2]Listas!$S:$S" noThreeD="1" sel="0" val="0"/>
</file>

<file path=xl/ctrlProps/ctrlProp181.xml><?xml version="1.0" encoding="utf-8"?>
<formControlPr xmlns="http://schemas.microsoft.com/office/spreadsheetml/2009/9/main" objectType="Drop" dropStyle="combo" dx="16" fmlaLink="#REF!" fmlaRange="[2]Listas!$Q:$Q" noThreeD="1" sel="0" val="0"/>
</file>

<file path=xl/ctrlProps/ctrlProp182.xml><?xml version="1.0" encoding="utf-8"?>
<formControlPr xmlns="http://schemas.microsoft.com/office/spreadsheetml/2009/9/main" objectType="Drop" dropStyle="combo" dx="16" fmlaLink="#REF!" fmlaRange="[2]Listas!$M:$M" noThreeD="1" sel="0" val="0"/>
</file>

<file path=xl/ctrlProps/ctrlProp183.xml><?xml version="1.0" encoding="utf-8"?>
<formControlPr xmlns="http://schemas.microsoft.com/office/spreadsheetml/2009/9/main" objectType="Drop" dropStyle="combo" dx="16" fmlaLink="#REF!" fmlaRange="[2]Listas!$O:$O" noThreeD="1" sel="0" val="0"/>
</file>

<file path=xl/ctrlProps/ctrlProp184.xml><?xml version="1.0" encoding="utf-8"?>
<formControlPr xmlns="http://schemas.microsoft.com/office/spreadsheetml/2009/9/main" objectType="Drop" dropStyle="combo" dx="16" fmlaLink="#REF!" fmlaRange="[2]Listas!$Q:$Q" noThreeD="1" sel="0" val="0"/>
</file>

<file path=xl/ctrlProps/ctrlProp185.xml><?xml version="1.0" encoding="utf-8"?>
<formControlPr xmlns="http://schemas.microsoft.com/office/spreadsheetml/2009/9/main" objectType="Drop" dropStyle="combo" dx="16" fmlaLink="#REF!" fmlaRange="[2]Listas!$S:$S" noThreeD="1" sel="0" val="0"/>
</file>

<file path=xl/ctrlProps/ctrlProp186.xml><?xml version="1.0" encoding="utf-8"?>
<formControlPr xmlns="http://schemas.microsoft.com/office/spreadsheetml/2009/9/main" objectType="GBox" noThreeD="1"/>
</file>

<file path=xl/ctrlProps/ctrlProp187.xml><?xml version="1.0" encoding="utf-8"?>
<formControlPr xmlns="http://schemas.microsoft.com/office/spreadsheetml/2009/9/main" objectType="GBox" noThreeD="1"/>
</file>

<file path=xl/ctrlProps/ctrlProp188.xml><?xml version="1.0" encoding="utf-8"?>
<formControlPr xmlns="http://schemas.microsoft.com/office/spreadsheetml/2009/9/main" objectType="GBox" noThreeD="1"/>
</file>

<file path=xl/ctrlProps/ctrlProp189.xml><?xml version="1.0" encoding="utf-8"?>
<formControlPr xmlns="http://schemas.microsoft.com/office/spreadsheetml/2009/9/main" objectType="GBox" noThreeD="1"/>
</file>

<file path=xl/ctrlProps/ctrlProp190.xml><?xml version="1.0" encoding="utf-8"?>
<formControlPr xmlns="http://schemas.microsoft.com/office/spreadsheetml/2009/9/main" objectType="GBox" noThreeD="1"/>
</file>

<file path=xl/ctrlProps/ctrlProp191.xml><?xml version="1.0" encoding="utf-8"?>
<formControlPr xmlns="http://schemas.microsoft.com/office/spreadsheetml/2009/9/main" objectType="GBox" noThreeD="1"/>
</file>

<file path=xl/ctrlProps/ctrlProp192.xml><?xml version="1.0" encoding="utf-8"?>
<formControlPr xmlns="http://schemas.microsoft.com/office/spreadsheetml/2009/9/main" objectType="GBox" noThreeD="1"/>
</file>

<file path=xl/ctrlProps/ctrlProp193.xml><?xml version="1.0" encoding="utf-8"?>
<formControlPr xmlns="http://schemas.microsoft.com/office/spreadsheetml/2009/9/main" objectType="GBox" noThreeD="1"/>
</file>

<file path=xl/ctrlProps/ctrlProp194.xml><?xml version="1.0" encoding="utf-8"?>
<formControlPr xmlns="http://schemas.microsoft.com/office/spreadsheetml/2009/9/main" objectType="GBox" noThreeD="1"/>
</file>

<file path=xl/ctrlProps/ctrlProp195.xml><?xml version="1.0" encoding="utf-8"?>
<formControlPr xmlns="http://schemas.microsoft.com/office/spreadsheetml/2009/9/main" objectType="GBox" noThreeD="1"/>
</file>

<file path=xl/ctrlProps/ctrlProp196.xml><?xml version="1.0" encoding="utf-8"?>
<formControlPr xmlns="http://schemas.microsoft.com/office/spreadsheetml/2009/9/main" objectType="GBox" noThreeD="1"/>
</file>

<file path=xl/ctrlProps/ctrlProp197.xml><?xml version="1.0" encoding="utf-8"?>
<formControlPr xmlns="http://schemas.microsoft.com/office/spreadsheetml/2009/9/main" objectType="GBox" noThreeD="1"/>
</file>

<file path=xl/ctrlProps/ctrlProp198.xml><?xml version="1.0" encoding="utf-8"?>
<formControlPr xmlns="http://schemas.microsoft.com/office/spreadsheetml/2009/9/main" objectType="GBox" noThreeD="1"/>
</file>

<file path=xl/ctrlProps/ctrlProp199.xml><?xml version="1.0" encoding="utf-8"?>
<formControlPr xmlns="http://schemas.microsoft.com/office/spreadsheetml/2009/9/main" objectType="GBox" noThreeD="1"/>
</file>

<file path=xl/ctrlProps/ctrlProp200.xml><?xml version="1.0" encoding="utf-8"?>
<formControlPr xmlns="http://schemas.microsoft.com/office/spreadsheetml/2009/9/main" objectType="GBox" noThreeD="1"/>
</file>

<file path=xl/ctrlProps/ctrlProp201.xml><?xml version="1.0" encoding="utf-8"?>
<formControlPr xmlns="http://schemas.microsoft.com/office/spreadsheetml/2009/9/main" objectType="Drop" dropStyle="combo" dx="16" fmlaLink="#REF!" fmlaRange="[3]Listas!$Q:$Q" noThreeD="1" sel="0" val="0"/>
</file>

<file path=xl/ctrlProps/ctrlProp202.xml><?xml version="1.0" encoding="utf-8"?>
<formControlPr xmlns="http://schemas.microsoft.com/office/spreadsheetml/2009/9/main" objectType="Drop" dropStyle="combo" dx="16" fmlaLink="#REF!" fmlaRange="[3]Listas!$M:$M" noThreeD="1" sel="0" val="0"/>
</file>

<file path=xl/ctrlProps/ctrlProp203.xml><?xml version="1.0" encoding="utf-8"?>
<formControlPr xmlns="http://schemas.microsoft.com/office/spreadsheetml/2009/9/main" objectType="Drop" dropStyle="combo" dx="16" fmlaLink="#REF!" fmlaRange="[3]Listas!$O:$O" noThreeD="1" sel="0" val="0"/>
</file>

<file path=xl/ctrlProps/ctrlProp204.xml><?xml version="1.0" encoding="utf-8"?>
<formControlPr xmlns="http://schemas.microsoft.com/office/spreadsheetml/2009/9/main" objectType="Drop" dropStyle="combo" dx="16" fmlaLink="#REF!" fmlaRange="[3]Listas!$Q:$Q" noThreeD="1" sel="0" val="0"/>
</file>

<file path=xl/ctrlProps/ctrlProp205.xml><?xml version="1.0" encoding="utf-8"?>
<formControlPr xmlns="http://schemas.microsoft.com/office/spreadsheetml/2009/9/main" objectType="Drop" dropStyle="combo" dx="16" fmlaLink="#REF!" fmlaRange="[3]Listas!$S:$S" noThreeD="1" sel="0" val="0"/>
</file>

<file path=xl/ctrlProps/ctrlProp206.xml><?xml version="1.0" encoding="utf-8"?>
<formControlPr xmlns="http://schemas.microsoft.com/office/spreadsheetml/2009/9/main" objectType="Drop" dropStyle="combo" dx="16" fmlaLink="#REF!" fmlaRange="[3]Listas!$Q:$Q" noThreeD="1" sel="0" val="0"/>
</file>

<file path=xl/ctrlProps/ctrlProp207.xml><?xml version="1.0" encoding="utf-8"?>
<formControlPr xmlns="http://schemas.microsoft.com/office/spreadsheetml/2009/9/main" objectType="Drop" dropStyle="combo" dx="16" fmlaLink="#REF!" fmlaRange="[3]Listas!$M:$M" noThreeD="1" sel="0" val="0"/>
</file>

<file path=xl/ctrlProps/ctrlProp208.xml><?xml version="1.0" encoding="utf-8"?>
<formControlPr xmlns="http://schemas.microsoft.com/office/spreadsheetml/2009/9/main" objectType="Drop" dropStyle="combo" dx="16" fmlaLink="#REF!" fmlaRange="[3]Listas!$O:$O" noThreeD="1" sel="0" val="0"/>
</file>

<file path=xl/ctrlProps/ctrlProp209.xml><?xml version="1.0" encoding="utf-8"?>
<formControlPr xmlns="http://schemas.microsoft.com/office/spreadsheetml/2009/9/main" objectType="Drop" dropStyle="combo" dx="16" fmlaLink="#REF!" fmlaRange="[3]Listas!$Q:$Q" noThreeD="1" sel="0" val="0"/>
</file>

<file path=xl/ctrlProps/ctrlProp210.xml><?xml version="1.0" encoding="utf-8"?>
<formControlPr xmlns="http://schemas.microsoft.com/office/spreadsheetml/2009/9/main" objectType="Drop" dropStyle="combo" dx="16" fmlaLink="#REF!" fmlaRange="[3]Listas!$S:$S" noThreeD="1" sel="0" val="0"/>
</file>

<file path=xl/ctrlProps/ctrlProp211.xml><?xml version="1.0" encoding="utf-8"?>
<formControlPr xmlns="http://schemas.microsoft.com/office/spreadsheetml/2009/9/main" objectType="Drop" dropStyle="combo" dx="16" fmlaLink="#REF!" fmlaRange="[3]Listas!$Q:$Q" noThreeD="1" sel="0" val="0"/>
</file>

<file path=xl/ctrlProps/ctrlProp212.xml><?xml version="1.0" encoding="utf-8"?>
<formControlPr xmlns="http://schemas.microsoft.com/office/spreadsheetml/2009/9/main" objectType="Drop" dropStyle="combo" dx="16" fmlaLink="#REF!" fmlaRange="[3]Listas!$M:$M" noThreeD="1" sel="0" val="0"/>
</file>

<file path=xl/ctrlProps/ctrlProp213.xml><?xml version="1.0" encoding="utf-8"?>
<formControlPr xmlns="http://schemas.microsoft.com/office/spreadsheetml/2009/9/main" objectType="Drop" dropStyle="combo" dx="16" fmlaLink="#REF!" fmlaRange="[3]Listas!$O:$O" noThreeD="1" sel="0" val="0"/>
</file>

<file path=xl/ctrlProps/ctrlProp214.xml><?xml version="1.0" encoding="utf-8"?>
<formControlPr xmlns="http://schemas.microsoft.com/office/spreadsheetml/2009/9/main" objectType="Drop" dropStyle="combo" dx="16" fmlaLink="#REF!" fmlaRange="[3]Listas!$Q:$Q" noThreeD="1" sel="0" val="0"/>
</file>

<file path=xl/ctrlProps/ctrlProp215.xml><?xml version="1.0" encoding="utf-8"?>
<formControlPr xmlns="http://schemas.microsoft.com/office/spreadsheetml/2009/9/main" objectType="Drop" dropStyle="combo" dx="16" fmlaLink="#REF!" fmlaRange="[3]Listas!$S:$S" noThreeD="1" sel="0" val="0"/>
</file>

<file path=xl/ctrlProps/ctrlProp216.xml><?xml version="1.0" encoding="utf-8"?>
<formControlPr xmlns="http://schemas.microsoft.com/office/spreadsheetml/2009/9/main" objectType="Drop" dropStyle="combo" dx="16" fmlaLink="#REF!" fmlaRange="[3]Listas!$Q:$Q" noThreeD="1" sel="0" val="0"/>
</file>

<file path=xl/ctrlProps/ctrlProp217.xml><?xml version="1.0" encoding="utf-8"?>
<formControlPr xmlns="http://schemas.microsoft.com/office/spreadsheetml/2009/9/main" objectType="Drop" dropStyle="combo" dx="16" fmlaLink="#REF!" fmlaRange="[3]Listas!$M:$M" noThreeD="1" sel="0" val="0"/>
</file>

<file path=xl/ctrlProps/ctrlProp218.xml><?xml version="1.0" encoding="utf-8"?>
<formControlPr xmlns="http://schemas.microsoft.com/office/spreadsheetml/2009/9/main" objectType="Drop" dropStyle="combo" dx="16" fmlaLink="#REF!" fmlaRange="[3]Listas!$O:$O" noThreeD="1" sel="0" val="0"/>
</file>

<file path=xl/ctrlProps/ctrlProp219.xml><?xml version="1.0" encoding="utf-8"?>
<formControlPr xmlns="http://schemas.microsoft.com/office/spreadsheetml/2009/9/main" objectType="Drop" dropStyle="combo" dx="16" fmlaLink="#REF!" fmlaRange="[3]Listas!$Q:$Q" noThreeD="1" sel="0" val="0"/>
</file>

<file path=xl/ctrlProps/ctrlProp220.xml><?xml version="1.0" encoding="utf-8"?>
<formControlPr xmlns="http://schemas.microsoft.com/office/spreadsheetml/2009/9/main" objectType="Drop" dropStyle="combo" dx="16" fmlaLink="#REF!" fmlaRange="[3]Listas!$S:$S" noThreeD="1" sel="0" val="0"/>
</file>

<file path=xl/ctrlProps/ctrlProp221.xml><?xml version="1.0" encoding="utf-8"?>
<formControlPr xmlns="http://schemas.microsoft.com/office/spreadsheetml/2009/9/main" objectType="GBox" noThreeD="1"/>
</file>

<file path=xl/ctrlProps/ctrlProp222.xml><?xml version="1.0" encoding="utf-8"?>
<formControlPr xmlns="http://schemas.microsoft.com/office/spreadsheetml/2009/9/main" objectType="GBox" noThreeD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GBox" noThreeD="1"/>
</file>

<file path=xl/ctrlProps/ctrlProp225.xml><?xml version="1.0" encoding="utf-8"?>
<formControlPr xmlns="http://schemas.microsoft.com/office/spreadsheetml/2009/9/main" objectType="GBox" noThreeD="1"/>
</file>

<file path=xl/ctrlProps/ctrlProp226.xml><?xml version="1.0" encoding="utf-8"?>
<formControlPr xmlns="http://schemas.microsoft.com/office/spreadsheetml/2009/9/main" objectType="GBox" noThreeD="1"/>
</file>

<file path=xl/ctrlProps/ctrlProp227.xml><?xml version="1.0" encoding="utf-8"?>
<formControlPr xmlns="http://schemas.microsoft.com/office/spreadsheetml/2009/9/main" objectType="GBox" noThreeD="1"/>
</file>

<file path=xl/ctrlProps/ctrlProp228.xml><?xml version="1.0" encoding="utf-8"?>
<formControlPr xmlns="http://schemas.microsoft.com/office/spreadsheetml/2009/9/main" objectType="GBox" noThreeD="1"/>
</file>

<file path=xl/ctrlProps/ctrlProp229.xml><?xml version="1.0" encoding="utf-8"?>
<formControlPr xmlns="http://schemas.microsoft.com/office/spreadsheetml/2009/9/main" objectType="GBox" noThreeD="1"/>
</file>

<file path=xl/ctrlProps/ctrlProp230.xml><?xml version="1.0" encoding="utf-8"?>
<formControlPr xmlns="http://schemas.microsoft.com/office/spreadsheetml/2009/9/main" objectType="GBox" noThreeD="1"/>
</file>

<file path=xl/ctrlProps/ctrlProp231.xml><?xml version="1.0" encoding="utf-8"?>
<formControlPr xmlns="http://schemas.microsoft.com/office/spreadsheetml/2009/9/main" objectType="GBox" noThreeD="1"/>
</file>

<file path=xl/ctrlProps/ctrlProp232.xml><?xml version="1.0" encoding="utf-8"?>
<formControlPr xmlns="http://schemas.microsoft.com/office/spreadsheetml/2009/9/main" objectType="GBox" noThreeD="1"/>
</file>

<file path=xl/ctrlProps/ctrlProp233.xml><?xml version="1.0" encoding="utf-8"?>
<formControlPr xmlns="http://schemas.microsoft.com/office/spreadsheetml/2009/9/main" objectType="GBox" noThreeD="1"/>
</file>

<file path=xl/ctrlProps/ctrlProp234.xml><?xml version="1.0" encoding="utf-8"?>
<formControlPr xmlns="http://schemas.microsoft.com/office/spreadsheetml/2009/9/main" objectType="GBox" noThreeD="1"/>
</file>

<file path=xl/ctrlProps/ctrlProp235.xml><?xml version="1.0" encoding="utf-8"?>
<formControlPr xmlns="http://schemas.microsoft.com/office/spreadsheetml/2009/9/main" objectType="Radio" firstButton="1" fmlaLink="$E$33" lockText="1"/>
</file>

<file path=xl/ctrlProps/ctrlProp236.xml><?xml version="1.0" encoding="utf-8"?>
<formControlPr xmlns="http://schemas.microsoft.com/office/spreadsheetml/2009/9/main" objectType="Radio" checked="Checked" lockText="1"/>
</file>

<file path=xl/ctrlProps/ctrlProp237.xml><?xml version="1.0" encoding="utf-8"?>
<formControlPr xmlns="http://schemas.microsoft.com/office/spreadsheetml/2009/9/main" objectType="Radio" firstButton="1" fmlaLink="$E$34" lockText="1"/>
</file>

<file path=xl/ctrlProps/ctrlProp238.xml><?xml version="1.0" encoding="utf-8"?>
<formControlPr xmlns="http://schemas.microsoft.com/office/spreadsheetml/2009/9/main" objectType="Radio" checked="Checked" lockText="1"/>
</file>

<file path=xl/ctrlProps/ctrlProp239.xml><?xml version="1.0" encoding="utf-8"?>
<formControlPr xmlns="http://schemas.microsoft.com/office/spreadsheetml/2009/9/main" objectType="Radio" firstButton="1" fmlaLink="$E$35" lockText="1"/>
</file>

<file path=xl/ctrlProps/ctrlProp240.xml><?xml version="1.0" encoding="utf-8"?>
<formControlPr xmlns="http://schemas.microsoft.com/office/spreadsheetml/2009/9/main" objectType="Radio" checked="Checked" lockText="1"/>
</file>

<file path=xl/ctrlProps/ctrlProp241.xml><?xml version="1.0" encoding="utf-8"?>
<formControlPr xmlns="http://schemas.microsoft.com/office/spreadsheetml/2009/9/main" objectType="Radio" firstButton="1" fmlaLink="$E$36" lockText="1"/>
</file>

<file path=xl/ctrlProps/ctrlProp242.xml><?xml version="1.0" encoding="utf-8"?>
<formControlPr xmlns="http://schemas.microsoft.com/office/spreadsheetml/2009/9/main" objectType="Radio" checked="Checked" lockText="1"/>
</file>

<file path=xl/ctrlProps/ctrlProp243.xml><?xml version="1.0" encoding="utf-8"?>
<formControlPr xmlns="http://schemas.microsoft.com/office/spreadsheetml/2009/9/main" objectType="Radio" firstButton="1" fmlaLink="$E$37" lockText="1"/>
</file>

<file path=xl/ctrlProps/ctrlProp244.xml><?xml version="1.0" encoding="utf-8"?>
<formControlPr xmlns="http://schemas.microsoft.com/office/spreadsheetml/2009/9/main" objectType="Radio" checked="Checked" lockText="1"/>
</file>

<file path=xl/ctrlProps/ctrlProp245.xml><?xml version="1.0" encoding="utf-8"?>
<formControlPr xmlns="http://schemas.microsoft.com/office/spreadsheetml/2009/9/main" objectType="Radio" firstButton="1" fmlaLink="$F$32" lockText="1"/>
</file>

<file path=xl/ctrlProps/ctrlProp246.xml><?xml version="1.0" encoding="utf-8"?>
<formControlPr xmlns="http://schemas.microsoft.com/office/spreadsheetml/2009/9/main" objectType="Radio" checked="Checked" lockText="1"/>
</file>

<file path=xl/ctrlProps/ctrlProp247.xml><?xml version="1.0" encoding="utf-8"?>
<formControlPr xmlns="http://schemas.microsoft.com/office/spreadsheetml/2009/9/main" objectType="Radio" firstButton="1" fmlaLink="$F$33" lockText="1"/>
</file>

<file path=xl/ctrlProps/ctrlProp248.xml><?xml version="1.0" encoding="utf-8"?>
<formControlPr xmlns="http://schemas.microsoft.com/office/spreadsheetml/2009/9/main" objectType="Radio" checked="Checked" lockText="1"/>
</file>

<file path=xl/ctrlProps/ctrlProp249.xml><?xml version="1.0" encoding="utf-8"?>
<formControlPr xmlns="http://schemas.microsoft.com/office/spreadsheetml/2009/9/main" objectType="Radio" firstButton="1" fmlaLink="$F$34" lockText="1"/>
</file>

<file path=xl/ctrlProps/ctrlProp250.xml><?xml version="1.0" encoding="utf-8"?>
<formControlPr xmlns="http://schemas.microsoft.com/office/spreadsheetml/2009/9/main" objectType="Radio" checked="Checked" lockText="1"/>
</file>

<file path=xl/ctrlProps/ctrlProp251.xml><?xml version="1.0" encoding="utf-8"?>
<formControlPr xmlns="http://schemas.microsoft.com/office/spreadsheetml/2009/9/main" objectType="GBox" noThreeD="1"/>
</file>

<file path=xl/ctrlProps/ctrlProp252.xml><?xml version="1.0" encoding="utf-8"?>
<formControlPr xmlns="http://schemas.microsoft.com/office/spreadsheetml/2009/9/main" objectType="Radio" firstButton="1" fmlaLink="$F$35" lockText="1"/>
</file>

<file path=xl/ctrlProps/ctrlProp253.xml><?xml version="1.0" encoding="utf-8"?>
<formControlPr xmlns="http://schemas.microsoft.com/office/spreadsheetml/2009/9/main" objectType="Radio" checked="Checked" lockText="1"/>
</file>

<file path=xl/ctrlProps/ctrlProp254.xml><?xml version="1.0" encoding="utf-8"?>
<formControlPr xmlns="http://schemas.microsoft.com/office/spreadsheetml/2009/9/main" objectType="Radio" firstButton="1" fmlaLink="$F$36" lockText="1"/>
</file>

<file path=xl/ctrlProps/ctrlProp255.xml><?xml version="1.0" encoding="utf-8"?>
<formControlPr xmlns="http://schemas.microsoft.com/office/spreadsheetml/2009/9/main" objectType="Radio" checked="Checked" lockText="1"/>
</file>

<file path=xl/ctrlProps/ctrlProp256.xml><?xml version="1.0" encoding="utf-8"?>
<formControlPr xmlns="http://schemas.microsoft.com/office/spreadsheetml/2009/9/main" objectType="Radio" firstButton="1" fmlaLink="$F$37" lockText="1"/>
</file>

<file path=xl/ctrlProps/ctrlProp257.xml><?xml version="1.0" encoding="utf-8"?>
<formControlPr xmlns="http://schemas.microsoft.com/office/spreadsheetml/2009/9/main" objectType="Radio" checked="Checked" lockText="1"/>
</file>

<file path=xl/ctrlProps/ctrlProp258.xml><?xml version="1.0" encoding="utf-8"?>
<formControlPr xmlns="http://schemas.microsoft.com/office/spreadsheetml/2009/9/main" objectType="GBox" noThreeD="1"/>
</file>

<file path=xl/ctrlProps/ctrlProp259.xml><?xml version="1.0" encoding="utf-8"?>
<formControlPr xmlns="http://schemas.microsoft.com/office/spreadsheetml/2009/9/main" objectType="GBox" noThreeD="1"/>
</file>

<file path=xl/ctrlProps/ctrlProp260.xml><?xml version="1.0" encoding="utf-8"?>
<formControlPr xmlns="http://schemas.microsoft.com/office/spreadsheetml/2009/9/main" objectType="Radio" firstButton="1" fmlaLink="$D$30" lockText="1"/>
</file>

<file path=xl/ctrlProps/ctrlProp261.xml><?xml version="1.0" encoding="utf-8"?>
<formControlPr xmlns="http://schemas.microsoft.com/office/spreadsheetml/2009/9/main" objectType="Radio" checked="Checked" lockText="1"/>
</file>

<file path=xl/ctrlProps/ctrlProp262.xml><?xml version="1.0" encoding="utf-8"?>
<formControlPr xmlns="http://schemas.microsoft.com/office/spreadsheetml/2009/9/main" objectType="GBox" noThreeD="1"/>
</file>

<file path=xl/ctrlProps/ctrlProp263.xml><?xml version="1.0" encoding="utf-8"?>
<formControlPr xmlns="http://schemas.microsoft.com/office/spreadsheetml/2009/9/main" objectType="Radio" firstButton="1" fmlaLink="$E$32" lockText="1"/>
</file>

<file path=xl/ctrlProps/ctrlProp264.xml><?xml version="1.0" encoding="utf-8"?>
<formControlPr xmlns="http://schemas.microsoft.com/office/spreadsheetml/2009/9/main" objectType="Radio" checked="Checked" lockText="1"/>
</file>

<file path=xl/ctrlProps/ctrlProp265.xml><?xml version="1.0" encoding="utf-8"?>
<formControlPr xmlns="http://schemas.microsoft.com/office/spreadsheetml/2009/9/main" objectType="Radio" firstButton="1" fmlaLink="$D$38" lockText="1"/>
</file>

<file path=xl/ctrlProps/ctrlProp266.xml><?xml version="1.0" encoding="utf-8"?>
<formControlPr xmlns="http://schemas.microsoft.com/office/spreadsheetml/2009/9/main" objectType="Radio" checked="Checked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0</xdr:row>
      <xdr:rowOff>0</xdr:rowOff>
    </xdr:from>
    <xdr:to>
      <xdr:col>8</xdr:col>
      <xdr:colOff>438150</xdr:colOff>
      <xdr:row>15</xdr:row>
      <xdr:rowOff>47625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333375" y="0"/>
          <a:ext cx="4000500" cy="2952750"/>
          <a:chOff x="104775" y="142875"/>
          <a:chExt cx="4000500" cy="3038474"/>
        </a:xfrm>
      </xdr:grpSpPr>
      <xdr:pic>
        <xdr:nvPicPr>
          <xdr:cNvPr id="17" name="Imagem 16" descr="Image result for anotações&quot;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49" y="895350"/>
            <a:ext cx="2660072" cy="22859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otãoInserirFicha" textlink="">
        <xdr:nvSpPr>
          <xdr:cNvPr id="13" name="Bisel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190750" y="1047750"/>
            <a:ext cx="1562100" cy="476250"/>
          </a:xfrm>
          <a:prstGeom prst="bevel">
            <a:avLst/>
          </a:prstGeom>
          <a:solidFill>
            <a:srgbClr val="005A96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/>
              <a:t>Inserir</a:t>
            </a:r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104775" y="142875"/>
            <a:ext cx="4000500" cy="752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3600" b="1" cap="none" spc="0">
                <a:ln w="19050">
                  <a:solidFill>
                    <a:schemeClr val="tx2">
                      <a:tint val="1000"/>
                    </a:schemeClr>
                  </a:solidFill>
                  <a:prstDash val="solid"/>
                </a:ln>
                <a:solidFill>
                  <a:srgbClr val="005A96"/>
                </a:solidFill>
                <a:effectLst>
                  <a:outerShdw blurRad="50000" dist="50800" dir="7500000" algn="tl">
                    <a:srgbClr val="000000">
                      <a:shade val="5000"/>
                      <a:alpha val="35000"/>
                    </a:srgbClr>
                  </a:outerShdw>
                </a:effectLst>
              </a:rPr>
              <a:t>FICHAS</a:t>
            </a:r>
          </a:p>
        </xdr:txBody>
      </xdr:sp>
      <xdr:sp macro="[0]!BotãoVisualizarFicha2" textlink="">
        <xdr:nvSpPr>
          <xdr:cNvPr id="10" name="Bisel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190750" y="1795462"/>
            <a:ext cx="1562100" cy="476250"/>
          </a:xfrm>
          <a:prstGeom prst="bevel">
            <a:avLst/>
          </a:prstGeom>
          <a:solidFill>
            <a:srgbClr val="005A96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/>
              <a:t>Visualizar</a:t>
            </a:r>
            <a:r>
              <a:rPr lang="pt-BR" sz="1100" b="1" baseline="0"/>
              <a:t> </a:t>
            </a:r>
            <a:endParaRPr lang="pt-BR" sz="1100" b="1"/>
          </a:p>
        </xdr:txBody>
      </xdr:sp>
      <xdr:sp macro="[0]!BotãoArquivos" textlink="">
        <xdr:nvSpPr>
          <xdr:cNvPr id="8" name="Bise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2190750" y="2543174"/>
            <a:ext cx="1562100" cy="476250"/>
          </a:xfrm>
          <a:prstGeom prst="bevel">
            <a:avLst/>
          </a:prstGeom>
          <a:solidFill>
            <a:srgbClr val="005A96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/>
              <a:t>Arquivos</a:t>
            </a:r>
          </a:p>
        </xdr:txBody>
      </xdr:sp>
    </xdr:grp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5</xdr:row>
      <xdr:rowOff>47625</xdr:rowOff>
    </xdr:to>
    <xdr:sp macro="" textlink="">
      <xdr:nvSpPr>
        <xdr:cNvPr id="1025" name="AutoShape 1" descr="https://mail.notes.na.collabserv.com/data3/22331470/23001153.nsf/0/561cfe005076c64b5d65a98f2e600e99/Body/M2?OpenElement&amp;cid=16bbef9646d75dfe0cf1&amp;OpenSoftDeleted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>
          <a:spLocks noChangeAspect="1" noChangeArrowheads="1"/>
        </xdr:cNvSpPr>
      </xdr:nvSpPr>
      <xdr:spPr bwMode="auto">
        <a:xfrm>
          <a:off x="1809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9526</xdr:colOff>
      <xdr:row>42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4667251" y="7677150"/>
          <a:ext cx="657224" cy="1152525"/>
        </a:xfrm>
        <a:prstGeom prst="rect">
          <a:avLst/>
        </a:prstGeom>
        <a:solidFill>
          <a:schemeClr val="bg1">
            <a:lumMod val="85000"/>
          </a:schemeClr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pt-BR" sz="1000"/>
            <a:t>Instalado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1046" name="Group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1047" name="Group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1048" name="Group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1049" name="Group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47</xdr:row>
          <xdr:rowOff>190500</xdr:rowOff>
        </xdr:to>
        <xdr:sp macro="" textlink="">
          <xdr:nvSpPr>
            <xdr:cNvPr id="1050" name="Group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9525</xdr:colOff>
          <xdr:row>43</xdr:row>
          <xdr:rowOff>0</xdr:rowOff>
        </xdr:to>
        <xdr:sp macro="" textlink="">
          <xdr:nvSpPr>
            <xdr:cNvPr id="1051" name="Group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9525</xdr:colOff>
          <xdr:row>44</xdr:row>
          <xdr:rowOff>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9525</xdr:colOff>
          <xdr:row>45</xdr:row>
          <xdr:rowOff>0</xdr:rowOff>
        </xdr:to>
        <xdr:sp macro="" textlink="">
          <xdr:nvSpPr>
            <xdr:cNvPr id="1053" name="Group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9525</xdr:colOff>
          <xdr:row>46</xdr:row>
          <xdr:rowOff>0</xdr:rowOff>
        </xdr:to>
        <xdr:sp macro="" textlink="">
          <xdr:nvSpPr>
            <xdr:cNvPr id="1054" name="Group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9525</xdr:colOff>
          <xdr:row>47</xdr:row>
          <xdr:rowOff>0</xdr:rowOff>
        </xdr:to>
        <xdr:sp macro="" textlink="">
          <xdr:nvSpPr>
            <xdr:cNvPr id="1055" name="Group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9525</xdr:colOff>
          <xdr:row>47</xdr:row>
          <xdr:rowOff>190500</xdr:rowOff>
        </xdr:to>
        <xdr:sp macro="" textlink="">
          <xdr:nvSpPr>
            <xdr:cNvPr id="1056" name="Group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43</xdr:row>
          <xdr:rowOff>0</xdr:rowOff>
        </xdr:from>
        <xdr:to>
          <xdr:col>4</xdr:col>
          <xdr:colOff>352425</xdr:colOff>
          <xdr:row>44</xdr:row>
          <xdr:rowOff>0</xdr:rowOff>
        </xdr:to>
        <xdr:sp macro="" textlink="">
          <xdr:nvSpPr>
            <xdr:cNvPr id="1058" name="Option Button 34" descr="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43</xdr:row>
          <xdr:rowOff>9525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44</xdr:row>
          <xdr:rowOff>0</xdr:rowOff>
        </xdr:from>
        <xdr:to>
          <xdr:col>4</xdr:col>
          <xdr:colOff>352425</xdr:colOff>
          <xdr:row>45</xdr:row>
          <xdr:rowOff>0</xdr:rowOff>
        </xdr:to>
        <xdr:sp macro="" textlink="">
          <xdr:nvSpPr>
            <xdr:cNvPr id="1060" name="Option Button 36" descr="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44</xdr:row>
          <xdr:rowOff>0</xdr:rowOff>
        </xdr:from>
        <xdr:to>
          <xdr:col>5</xdr:col>
          <xdr:colOff>0</xdr:colOff>
          <xdr:row>44</xdr:row>
          <xdr:rowOff>180975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45</xdr:row>
          <xdr:rowOff>0</xdr:rowOff>
        </xdr:from>
        <xdr:to>
          <xdr:col>4</xdr:col>
          <xdr:colOff>352425</xdr:colOff>
          <xdr:row>46</xdr:row>
          <xdr:rowOff>0</xdr:rowOff>
        </xdr:to>
        <xdr:sp macro="" textlink="">
          <xdr:nvSpPr>
            <xdr:cNvPr id="1062" name="Option Button 38" descr="S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45</xdr:row>
          <xdr:rowOff>0</xdr:rowOff>
        </xdr:from>
        <xdr:to>
          <xdr:col>5</xdr:col>
          <xdr:colOff>0</xdr:colOff>
          <xdr:row>45</xdr:row>
          <xdr:rowOff>180975</xdr:rowOff>
        </xdr:to>
        <xdr:sp macro="" textlink="">
          <xdr:nvSpPr>
            <xdr:cNvPr id="1063" name="Option 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46</xdr:row>
          <xdr:rowOff>0</xdr:rowOff>
        </xdr:from>
        <xdr:to>
          <xdr:col>4</xdr:col>
          <xdr:colOff>352425</xdr:colOff>
          <xdr:row>47</xdr:row>
          <xdr:rowOff>0</xdr:rowOff>
        </xdr:to>
        <xdr:sp macro="" textlink="">
          <xdr:nvSpPr>
            <xdr:cNvPr id="1064" name="Option Button 40" descr="S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46</xdr:row>
          <xdr:rowOff>0</xdr:rowOff>
        </xdr:from>
        <xdr:to>
          <xdr:col>5</xdr:col>
          <xdr:colOff>0</xdr:colOff>
          <xdr:row>46</xdr:row>
          <xdr:rowOff>180975</xdr:rowOff>
        </xdr:to>
        <xdr:sp macro="" textlink="">
          <xdr:nvSpPr>
            <xdr:cNvPr id="1065" name="Option 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47</xdr:row>
          <xdr:rowOff>0</xdr:rowOff>
        </xdr:from>
        <xdr:to>
          <xdr:col>4</xdr:col>
          <xdr:colOff>352425</xdr:colOff>
          <xdr:row>47</xdr:row>
          <xdr:rowOff>190500</xdr:rowOff>
        </xdr:to>
        <xdr:sp macro="" textlink="">
          <xdr:nvSpPr>
            <xdr:cNvPr id="1066" name="Option Button 42" descr="S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47</xdr:row>
          <xdr:rowOff>0</xdr:rowOff>
        </xdr:from>
        <xdr:to>
          <xdr:col>5</xdr:col>
          <xdr:colOff>0</xdr:colOff>
          <xdr:row>47</xdr:row>
          <xdr:rowOff>180975</xdr:rowOff>
        </xdr:to>
        <xdr:sp macro="" textlink="">
          <xdr:nvSpPr>
            <xdr:cNvPr id="1067" name="Option 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42</xdr:row>
          <xdr:rowOff>0</xdr:rowOff>
        </xdr:from>
        <xdr:to>
          <xdr:col>5</xdr:col>
          <xdr:colOff>371475</xdr:colOff>
          <xdr:row>43</xdr:row>
          <xdr:rowOff>0</xdr:rowOff>
        </xdr:to>
        <xdr:sp macro="" textlink="">
          <xdr:nvSpPr>
            <xdr:cNvPr id="1068" name="Option Button 44" descr="S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42</xdr:row>
          <xdr:rowOff>0</xdr:rowOff>
        </xdr:from>
        <xdr:to>
          <xdr:col>5</xdr:col>
          <xdr:colOff>723900</xdr:colOff>
          <xdr:row>42</xdr:row>
          <xdr:rowOff>180975</xdr:rowOff>
        </xdr:to>
        <xdr:sp macro="" textlink="">
          <xdr:nvSpPr>
            <xdr:cNvPr id="1069" name="Option 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43</xdr:row>
          <xdr:rowOff>0</xdr:rowOff>
        </xdr:from>
        <xdr:to>
          <xdr:col>5</xdr:col>
          <xdr:colOff>371475</xdr:colOff>
          <xdr:row>44</xdr:row>
          <xdr:rowOff>0</xdr:rowOff>
        </xdr:to>
        <xdr:sp macro="" textlink="">
          <xdr:nvSpPr>
            <xdr:cNvPr id="1070" name="Option Button 46" descr="S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43</xdr:row>
          <xdr:rowOff>0</xdr:rowOff>
        </xdr:from>
        <xdr:to>
          <xdr:col>5</xdr:col>
          <xdr:colOff>723900</xdr:colOff>
          <xdr:row>43</xdr:row>
          <xdr:rowOff>180975</xdr:rowOff>
        </xdr:to>
        <xdr:sp macro="" textlink="">
          <xdr:nvSpPr>
            <xdr:cNvPr id="1071" name="Option 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44</xdr:row>
          <xdr:rowOff>0</xdr:rowOff>
        </xdr:from>
        <xdr:to>
          <xdr:col>5</xdr:col>
          <xdr:colOff>371475</xdr:colOff>
          <xdr:row>45</xdr:row>
          <xdr:rowOff>0</xdr:rowOff>
        </xdr:to>
        <xdr:sp macro="" textlink="">
          <xdr:nvSpPr>
            <xdr:cNvPr id="1072" name="Option Button 48" descr="S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44</xdr:row>
          <xdr:rowOff>0</xdr:rowOff>
        </xdr:from>
        <xdr:to>
          <xdr:col>5</xdr:col>
          <xdr:colOff>723900</xdr:colOff>
          <xdr:row>44</xdr:row>
          <xdr:rowOff>180975</xdr:rowOff>
        </xdr:to>
        <xdr:sp macro="" textlink="">
          <xdr:nvSpPr>
            <xdr:cNvPr id="1073" name="Option 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9525</xdr:colOff>
          <xdr:row>46</xdr:row>
          <xdr:rowOff>0</xdr:rowOff>
        </xdr:to>
        <xdr:sp macro="" textlink="">
          <xdr:nvSpPr>
            <xdr:cNvPr id="1080" name="Group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45</xdr:row>
          <xdr:rowOff>0</xdr:rowOff>
        </xdr:from>
        <xdr:to>
          <xdr:col>5</xdr:col>
          <xdr:colOff>371475</xdr:colOff>
          <xdr:row>46</xdr:row>
          <xdr:rowOff>0</xdr:rowOff>
        </xdr:to>
        <xdr:sp macro="" textlink="">
          <xdr:nvSpPr>
            <xdr:cNvPr id="1081" name="Option Button 57" descr="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45</xdr:row>
          <xdr:rowOff>0</xdr:rowOff>
        </xdr:from>
        <xdr:to>
          <xdr:col>5</xdr:col>
          <xdr:colOff>723900</xdr:colOff>
          <xdr:row>45</xdr:row>
          <xdr:rowOff>180975</xdr:rowOff>
        </xdr:to>
        <xdr:sp macro="" textlink="">
          <xdr:nvSpPr>
            <xdr:cNvPr id="1082" name="Option 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46</xdr:row>
          <xdr:rowOff>0</xdr:rowOff>
        </xdr:from>
        <xdr:to>
          <xdr:col>5</xdr:col>
          <xdr:colOff>371475</xdr:colOff>
          <xdr:row>47</xdr:row>
          <xdr:rowOff>0</xdr:rowOff>
        </xdr:to>
        <xdr:sp macro="" textlink="">
          <xdr:nvSpPr>
            <xdr:cNvPr id="1083" name="Option Button 59" descr="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46</xdr:row>
          <xdr:rowOff>0</xdr:rowOff>
        </xdr:from>
        <xdr:to>
          <xdr:col>5</xdr:col>
          <xdr:colOff>723900</xdr:colOff>
          <xdr:row>46</xdr:row>
          <xdr:rowOff>180975</xdr:rowOff>
        </xdr:to>
        <xdr:sp macro="" textlink="">
          <xdr:nvSpPr>
            <xdr:cNvPr id="1084" name="Option 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47</xdr:row>
          <xdr:rowOff>0</xdr:rowOff>
        </xdr:from>
        <xdr:to>
          <xdr:col>5</xdr:col>
          <xdr:colOff>371475</xdr:colOff>
          <xdr:row>47</xdr:row>
          <xdr:rowOff>190500</xdr:rowOff>
        </xdr:to>
        <xdr:sp macro="" textlink="">
          <xdr:nvSpPr>
            <xdr:cNvPr id="1085" name="Option Button 61" descr="S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47</xdr:row>
          <xdr:rowOff>0</xdr:rowOff>
        </xdr:from>
        <xdr:to>
          <xdr:col>5</xdr:col>
          <xdr:colOff>723900</xdr:colOff>
          <xdr:row>47</xdr:row>
          <xdr:rowOff>180975</xdr:rowOff>
        </xdr:to>
        <xdr:sp macro="" textlink="">
          <xdr:nvSpPr>
            <xdr:cNvPr id="1086" name="Option 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10</xdr:col>
          <xdr:colOff>838200</xdr:colOff>
          <xdr:row>41</xdr:row>
          <xdr:rowOff>0</xdr:rowOff>
        </xdr:to>
        <xdr:sp macro="" textlink="">
          <xdr:nvSpPr>
            <xdr:cNvPr id="1094" name="Group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10</xdr:col>
          <xdr:colOff>847725</xdr:colOff>
          <xdr:row>48</xdr:row>
          <xdr:rowOff>190500</xdr:rowOff>
        </xdr:to>
        <xdr:sp macro="" textlink="">
          <xdr:nvSpPr>
            <xdr:cNvPr id="1100" name="Group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57150</xdr:rowOff>
        </xdr:from>
        <xdr:to>
          <xdr:col>3</xdr:col>
          <xdr:colOff>361950</xdr:colOff>
          <xdr:row>40</xdr:row>
          <xdr:rowOff>152400</xdr:rowOff>
        </xdr:to>
        <xdr:sp macro="" textlink="">
          <xdr:nvSpPr>
            <xdr:cNvPr id="1104" name="Option 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40</xdr:row>
          <xdr:rowOff>28575</xdr:rowOff>
        </xdr:from>
        <xdr:to>
          <xdr:col>4</xdr:col>
          <xdr:colOff>342900</xdr:colOff>
          <xdr:row>40</xdr:row>
          <xdr:rowOff>161925</xdr:rowOff>
        </xdr:to>
        <xdr:sp macro="" textlink="">
          <xdr:nvSpPr>
            <xdr:cNvPr id="1105" name="Option 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1106" name="Group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42</xdr:row>
          <xdr:rowOff>0</xdr:rowOff>
        </xdr:from>
        <xdr:to>
          <xdr:col>4</xdr:col>
          <xdr:colOff>352425</xdr:colOff>
          <xdr:row>43</xdr:row>
          <xdr:rowOff>0</xdr:rowOff>
        </xdr:to>
        <xdr:sp macro="" textlink="">
          <xdr:nvSpPr>
            <xdr:cNvPr id="1109" name="Option Button 85" descr="S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42</xdr:row>
          <xdr:rowOff>9525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1110" name="Option 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48</xdr:row>
          <xdr:rowOff>38100</xdr:rowOff>
        </xdr:from>
        <xdr:to>
          <xdr:col>3</xdr:col>
          <xdr:colOff>371475</xdr:colOff>
          <xdr:row>48</xdr:row>
          <xdr:rowOff>161925</xdr:rowOff>
        </xdr:to>
        <xdr:sp macro="" textlink="">
          <xdr:nvSpPr>
            <xdr:cNvPr id="1113" name="Option 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1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48</xdr:row>
          <xdr:rowOff>38100</xdr:rowOff>
        </xdr:from>
        <xdr:to>
          <xdr:col>4</xdr:col>
          <xdr:colOff>266700</xdr:colOff>
          <xdr:row>48</xdr:row>
          <xdr:rowOff>161925</xdr:rowOff>
        </xdr:to>
        <xdr:sp macro="" textlink="">
          <xdr:nvSpPr>
            <xdr:cNvPr id="1114" name="Option 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1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42</xdr:row>
      <xdr:rowOff>2198</xdr:rowOff>
    </xdr:from>
    <xdr:to>
      <xdr:col>6</xdr:col>
      <xdr:colOff>201490</xdr:colOff>
      <xdr:row>47</xdr:row>
      <xdr:rowOff>194164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218089" y="7458912"/>
          <a:ext cx="201490" cy="1144466"/>
        </a:xfrm>
        <a:prstGeom prst="rect">
          <a:avLst/>
        </a:prstGeom>
        <a:solidFill>
          <a:schemeClr val="bg1">
            <a:lumMod val="85000"/>
          </a:schemeClr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pt-BR" sz="1000"/>
            <a:t>Retirado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55</xdr:row>
          <xdr:rowOff>171450</xdr:rowOff>
        </xdr:from>
        <xdr:to>
          <xdr:col>2</xdr:col>
          <xdr:colOff>180975</xdr:colOff>
          <xdr:row>57</xdr:row>
          <xdr:rowOff>161925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1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55</xdr:row>
          <xdr:rowOff>171450</xdr:rowOff>
        </xdr:from>
        <xdr:to>
          <xdr:col>10</xdr:col>
          <xdr:colOff>828675</xdr:colOff>
          <xdr:row>57</xdr:row>
          <xdr:rowOff>161925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47625</xdr:colOff>
      <xdr:row>0</xdr:row>
      <xdr:rowOff>59129</xdr:rowOff>
    </xdr:from>
    <xdr:to>
      <xdr:col>1</xdr:col>
      <xdr:colOff>523875</xdr:colOff>
      <xdr:row>3</xdr:row>
      <xdr:rowOff>125884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59129"/>
          <a:ext cx="476250" cy="5430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47625</xdr:rowOff>
    </xdr:from>
    <xdr:to>
      <xdr:col>1</xdr:col>
      <xdr:colOff>171450</xdr:colOff>
      <xdr:row>4</xdr:row>
      <xdr:rowOff>47625</xdr:rowOff>
    </xdr:to>
    <xdr:pic>
      <xdr:nvPicPr>
        <xdr:cNvPr id="4" name="Imagem 3" descr="Image result for logo cetesb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47625"/>
          <a:ext cx="8572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26" name="Group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27" name="Group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28" name="Group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29" name="Group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30" name="Group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3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31" name="Group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3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48" name="Group Box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3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5155" name="Group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3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0</xdr:colOff>
          <xdr:row>3</xdr:row>
          <xdr:rowOff>9525</xdr:rowOff>
        </xdr:to>
        <xdr:sp macro="" textlink="">
          <xdr:nvSpPr>
            <xdr:cNvPr id="5156" name="Group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3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59" name="Group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3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64" name="Drop Dow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3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65" name="Drop Dow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3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66" name="Drop Dow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3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67" name="Drop Dow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3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68" name="Drop Dow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3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69" name="Drop Dow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3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3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71" name="Drop Dow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3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72" name="Drop Dow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3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73" name="Drop Dow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3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74" name="Drop Dow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3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75" name="Drop Dow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3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76" name="Drop Dow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3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77" name="Drop Dow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3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78" name="Drop Dow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3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79" name="Drop Dow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3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80" name="Drop Dow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3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81" name="Drop Dow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3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82" name="Drop Dow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3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183" name="Drop Dow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3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171450</xdr:colOff>
      <xdr:row>19</xdr:row>
      <xdr:rowOff>0</xdr:rowOff>
    </xdr:from>
    <xdr:to>
      <xdr:col>1</xdr:col>
      <xdr:colOff>171450</xdr:colOff>
      <xdr:row>22</xdr:row>
      <xdr:rowOff>0</xdr:rowOff>
    </xdr:to>
    <xdr:pic>
      <xdr:nvPicPr>
        <xdr:cNvPr id="38" name="Imagem 37" descr="Image result for logo cetesb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" y="238125"/>
          <a:ext cx="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184" name="Group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185" name="Group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3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186" name="Group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3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187" name="Group Box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3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188" name="Group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3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189" name="Group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3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190" name="Group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3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191" name="Group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3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192" name="Group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3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193" name="Group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3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194" name="Group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3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195" name="Group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3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5196" name="Group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3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0</xdr:colOff>
          <xdr:row>11</xdr:row>
          <xdr:rowOff>9525</xdr:rowOff>
        </xdr:to>
        <xdr:sp macro="" textlink="">
          <xdr:nvSpPr>
            <xdr:cNvPr id="5197" name="Group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3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198" name="Group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3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199" name="Drop Down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3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00" name="Drop Down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3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01" name="Drop Down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3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02" name="Drop Down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3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03" name="Drop Down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3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04" name="Drop Down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3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05" name="Drop Down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3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06" name="Drop Down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3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07" name="Drop Down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3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08" name="Drop Down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3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09" name="Drop Down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3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10" name="Drop Down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3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11" name="Drop Down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3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12" name="Drop Dow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3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13" name="Drop Down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3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14" name="Drop Down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3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15" name="Drop Down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3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16" name="Drop Down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3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17" name="Drop Down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3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18" name="Drop Down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3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171450</xdr:colOff>
      <xdr:row>20</xdr:row>
      <xdr:rowOff>0</xdr:rowOff>
    </xdr:from>
    <xdr:to>
      <xdr:col>1</xdr:col>
      <xdr:colOff>171450</xdr:colOff>
      <xdr:row>23</xdr:row>
      <xdr:rowOff>0</xdr:rowOff>
    </xdr:to>
    <xdr:pic>
      <xdr:nvPicPr>
        <xdr:cNvPr id="74" name="Imagem 73" descr="Image result for logo cetesb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" y="1333500"/>
          <a:ext cx="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19" name="Group Box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3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20" name="Group Box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3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21" name="Group Box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3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22" name="Group Box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3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23" name="Group Box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3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24" name="Group Box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3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25" name="Group Box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3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26" name="Group Box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3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27" name="Group Box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3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28" name="Group Box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3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29" name="Group Box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3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30" name="Group Box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3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5231" name="Group Box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3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1</xdr:col>
          <xdr:colOff>0</xdr:colOff>
          <xdr:row>21</xdr:row>
          <xdr:rowOff>9525</xdr:rowOff>
        </xdr:to>
        <xdr:sp macro="" textlink="">
          <xdr:nvSpPr>
            <xdr:cNvPr id="5232" name="Group Box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3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33" name="Group Box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3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34" name="Drop Down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3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35" name="Drop Down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3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36" name="Drop Down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3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37" name="Drop Dow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3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38" name="Drop Dow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3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39" name="Drop Dow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3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40" name="Drop Dow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3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41" name="Drop Down 121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3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42" name="Drop Dow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3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43" name="Drop Dow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3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44" name="Drop Down 124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3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45" name="Drop Down 125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3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46" name="Drop Down 126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3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47" name="Drop Down 127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3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48" name="Drop Down 128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3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49" name="Drop Down 129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3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50" name="Drop Down 130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3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51" name="Drop Down 131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3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52" name="Drop Down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3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20</xdr:row>
          <xdr:rowOff>0</xdr:rowOff>
        </xdr:from>
        <xdr:to>
          <xdr:col>35</xdr:col>
          <xdr:colOff>0</xdr:colOff>
          <xdr:row>21</xdr:row>
          <xdr:rowOff>0</xdr:rowOff>
        </xdr:to>
        <xdr:sp macro="" textlink="">
          <xdr:nvSpPr>
            <xdr:cNvPr id="5253" name="Drop Down 133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3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171450</xdr:colOff>
      <xdr:row>10</xdr:row>
      <xdr:rowOff>0</xdr:rowOff>
    </xdr:from>
    <xdr:to>
      <xdr:col>1</xdr:col>
      <xdr:colOff>171450</xdr:colOff>
      <xdr:row>13</xdr:row>
      <xdr:rowOff>0</xdr:rowOff>
    </xdr:to>
    <xdr:pic>
      <xdr:nvPicPr>
        <xdr:cNvPr id="110" name="Imagem 109" descr="Image result for logo cetesb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" y="952500"/>
          <a:ext cx="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54" name="Group Box 134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3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55" name="Group Box 135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3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56" name="Group Box 136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3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57" name="Group Box 137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3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58" name="Group Box 138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3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59" name="Group Box 139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3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60" name="Group Box 14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3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61" name="Group Box 141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3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62" name="Group Box 142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3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63" name="Group Box 143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3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64" name="Group Box 144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3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65" name="Group Box 145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3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5266" name="Group Box 146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300-00009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0</xdr:colOff>
          <xdr:row>11</xdr:row>
          <xdr:rowOff>9525</xdr:rowOff>
        </xdr:to>
        <xdr:sp macro="" textlink="">
          <xdr:nvSpPr>
            <xdr:cNvPr id="5267" name="Group Box 147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3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68" name="Group Box 148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300-00009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69" name="Drop Down 149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00000000-0008-0000-0300-00009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70" name="Drop Down 150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00000000-0008-0000-0300-00009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71" name="Drop Down 151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00000000-0008-0000-0300-00009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72" name="Drop Down 152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00000000-0008-0000-0300-00009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73" name="Drop Down 153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00000000-0008-0000-0300-00009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74" name="Drop Down 154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00000000-0008-0000-0300-00009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75" name="Drop Down 155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0000000-0008-0000-0300-00009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76" name="Drop Down 156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00000000-0008-0000-0300-00009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77" name="Drop Down 157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0000000-0008-0000-0300-00009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78" name="Drop Down 158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00000000-0008-0000-0300-00009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79" name="Drop Down 159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00000000-0008-0000-0300-00009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80" name="Drop Down 160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3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81" name="Drop Down 161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3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82" name="Drop Down 162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3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83" name="Drop Down 163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3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84" name="Drop Down 164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3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85" name="Drop Down 165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0000000-0008-0000-0300-0000A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86" name="Drop Down 166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00000000-0008-0000-0300-0000A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87" name="Drop Down 167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00000000-0008-0000-0300-0000A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</xdr:row>
          <xdr:rowOff>0</xdr:rowOff>
        </xdr:from>
        <xdr:to>
          <xdr:col>35</xdr:col>
          <xdr:colOff>0</xdr:colOff>
          <xdr:row>11</xdr:row>
          <xdr:rowOff>0</xdr:rowOff>
        </xdr:to>
        <xdr:sp macro="" textlink="">
          <xdr:nvSpPr>
            <xdr:cNvPr id="5288" name="Drop Down 168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00000000-0008-0000-0300-0000A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290" name="Group Box 170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00000000-0008-0000-0300-0000A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291" name="Group Box 171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00000000-0008-0000-0300-0000A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292" name="Group Box 172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300-0000A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293" name="Group Box 173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00000000-0008-0000-0300-0000A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294" name="Group Box 174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00000000-0008-0000-0300-0000A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295" name="Group Box 175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00000000-0008-0000-0300-0000A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296" name="Group Box 176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00000000-0008-0000-0300-0000B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297" name="Group Box 177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00000000-0008-0000-0300-0000B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298" name="Group Box 178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00000000-0008-0000-0300-0000B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299" name="Group Box 179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300-0000B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00" name="Group Box 180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00000000-0008-0000-0300-0000B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01" name="Group Box 181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00000000-0008-0000-0300-0000B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5302" name="Group Box 182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300-0000B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0</xdr:colOff>
          <xdr:row>3</xdr:row>
          <xdr:rowOff>9525</xdr:rowOff>
        </xdr:to>
        <xdr:sp macro="" textlink="">
          <xdr:nvSpPr>
            <xdr:cNvPr id="5303" name="Group Box 183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3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04" name="Group Box 184" hidden="1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00000000-0008-0000-0300-0000B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05" name="Drop Down 185" hidden="1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00000000-0008-0000-0300-0000B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06" name="Drop Down 186" hidden="1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00000000-0008-0000-0300-0000B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07" name="Drop Down 187" hidden="1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00000000-0008-0000-0300-0000B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08" name="Drop Down 188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300-0000B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09" name="Drop Down 189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300-0000B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10" name="Drop Down 190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300-0000B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11" name="Drop Down 191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300-0000B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12" name="Drop Down 192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300-0000C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13" name="Drop Dow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3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14" name="Drop Dow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3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15" name="Drop Dow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3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16" name="Drop Dow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3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17" name="Drop Dow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3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18" name="Drop Dow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3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19" name="Drop Dow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3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20" name="Drop Dow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3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21" name="Drop Dow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3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22" name="Drop Dow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3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23" name="Drop Dow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3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</xdr:row>
          <xdr:rowOff>0</xdr:rowOff>
        </xdr:from>
        <xdr:to>
          <xdr:col>35</xdr:col>
          <xdr:colOff>0</xdr:colOff>
          <xdr:row>3</xdr:row>
          <xdr:rowOff>0</xdr:rowOff>
        </xdr:to>
        <xdr:sp macro="" textlink="">
          <xdr:nvSpPr>
            <xdr:cNvPr id="5324" name="Drop Dow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3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1</xdr:col>
          <xdr:colOff>0</xdr:colOff>
          <xdr:row>39</xdr:row>
          <xdr:rowOff>9525</xdr:rowOff>
        </xdr:to>
        <xdr:sp macro="" textlink="">
          <xdr:nvSpPr>
            <xdr:cNvPr id="5325" name="Group Box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3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1</xdr:col>
          <xdr:colOff>0</xdr:colOff>
          <xdr:row>39</xdr:row>
          <xdr:rowOff>9525</xdr:rowOff>
        </xdr:to>
        <xdr:sp macro="" textlink="">
          <xdr:nvSpPr>
            <xdr:cNvPr id="5326" name="Group Box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3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2047875</xdr:colOff>
      <xdr:row>15</xdr:row>
      <xdr:rowOff>161925</xdr:rowOff>
    </xdr:from>
    <xdr:to>
      <xdr:col>0</xdr:col>
      <xdr:colOff>3876675</xdr:colOff>
      <xdr:row>29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47875" y="30670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2052638</xdr:colOff>
      <xdr:row>10</xdr:row>
      <xdr:rowOff>76200</xdr:rowOff>
    </xdr:from>
    <xdr:to>
      <xdr:col>0</xdr:col>
      <xdr:colOff>3871913</xdr:colOff>
      <xdr:row>15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52638" y="2028825"/>
              <a:ext cx="1819275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152400</xdr:colOff>
      <xdr:row>10</xdr:row>
      <xdr:rowOff>76201</xdr:rowOff>
    </xdr:from>
    <xdr:to>
      <xdr:col>0</xdr:col>
      <xdr:colOff>1981200</xdr:colOff>
      <xdr:row>29</xdr:row>
      <xdr:rowOff>19051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ódigo+Nome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ódigo+No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0" y="2028826"/>
              <a:ext cx="1828800" cy="3562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29</xdr:row>
          <xdr:rowOff>114300</xdr:rowOff>
        </xdr:from>
        <xdr:to>
          <xdr:col>0</xdr:col>
          <xdr:colOff>962025</xdr:colOff>
          <xdr:row>31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66675</xdr:rowOff>
    </xdr:to>
    <xdr:sp macro="" textlink="">
      <xdr:nvSpPr>
        <xdr:cNvPr id="11268" name="AutoShape 4" descr="Image result for arquivo icons&quot;">
          <a:extLst>
            <a:ext uri="{FF2B5EF4-FFF2-40B4-BE49-F238E27FC236}">
              <a16:creationId xmlns:a16="http://schemas.microsoft.com/office/drawing/2014/main" id="{00000000-0008-0000-0400-0000042C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857250</xdr:colOff>
      <xdr:row>1</xdr:row>
      <xdr:rowOff>66675</xdr:rowOff>
    </xdr:from>
    <xdr:to>
      <xdr:col>0</xdr:col>
      <xdr:colOff>3000375</xdr:colOff>
      <xdr:row>9</xdr:row>
      <xdr:rowOff>102394</xdr:rowOff>
    </xdr:to>
    <xdr:pic>
      <xdr:nvPicPr>
        <xdr:cNvPr id="16" name="Imagem 15" descr="Image result for arquivo&quot;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257175"/>
          <a:ext cx="2143125" cy="16073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104775</xdr:rowOff>
    </xdr:to>
    <xdr:sp macro="" textlink="">
      <xdr:nvSpPr>
        <xdr:cNvPr id="2" name="AutoShape 1" descr="https://mail.notes.na.collabserv.com/data3/22331470/23001153.nsf/0/561cfe005076c64b5d65a98f2e600e99/Body/M2?OpenElement&amp;cid=16bbef9646d75dfe0cf1&amp;OpenSoftDeleted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7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31</xdr:row>
      <xdr:rowOff>0</xdr:rowOff>
    </xdr:from>
    <xdr:to>
      <xdr:col>9</xdr:col>
      <xdr:colOff>0</xdr:colOff>
      <xdr:row>36</xdr:row>
      <xdr:rowOff>190499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4667250" y="7743825"/>
          <a:ext cx="790575" cy="1142999"/>
        </a:xfrm>
        <a:prstGeom prst="rect">
          <a:avLst/>
        </a:prstGeom>
        <a:solidFill>
          <a:schemeClr val="bg1">
            <a:lumMod val="85000"/>
          </a:schemeClr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pt-BR" sz="1000"/>
            <a:t>Instalado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14337" name="Group Box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14338" name="Group Box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14339" name="Group Box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4340" name="Group Box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36</xdr:row>
          <xdr:rowOff>190500</xdr:rowOff>
        </xdr:to>
        <xdr:sp macro="" textlink="">
          <xdr:nvSpPr>
            <xdr:cNvPr id="14341" name="Group Box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14342" name="Group Box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5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14343" name="Group Box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5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14344" name="Group Box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5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14345" name="Group Box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5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4346" name="Group Box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5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36</xdr:row>
          <xdr:rowOff>190500</xdr:rowOff>
        </xdr:to>
        <xdr:sp macro="" textlink="">
          <xdr:nvSpPr>
            <xdr:cNvPr id="14347" name="Group Box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5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0</xdr:rowOff>
        </xdr:from>
        <xdr:to>
          <xdr:col>4</xdr:col>
          <xdr:colOff>352425</xdr:colOff>
          <xdr:row>33</xdr:row>
          <xdr:rowOff>0</xdr:rowOff>
        </xdr:to>
        <xdr:sp macro="" textlink="">
          <xdr:nvSpPr>
            <xdr:cNvPr id="14348" name="Option Button 12" descr="S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5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32</xdr:row>
          <xdr:rowOff>9525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14349" name="Option 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5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0</xdr:rowOff>
        </xdr:from>
        <xdr:to>
          <xdr:col>4</xdr:col>
          <xdr:colOff>352425</xdr:colOff>
          <xdr:row>34</xdr:row>
          <xdr:rowOff>0</xdr:rowOff>
        </xdr:to>
        <xdr:sp macro="" textlink="">
          <xdr:nvSpPr>
            <xdr:cNvPr id="14350" name="Option Button 14" descr="S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5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33</xdr:row>
          <xdr:rowOff>0</xdr:rowOff>
        </xdr:from>
        <xdr:to>
          <xdr:col>5</xdr:col>
          <xdr:colOff>0</xdr:colOff>
          <xdr:row>33</xdr:row>
          <xdr:rowOff>180975</xdr:rowOff>
        </xdr:to>
        <xdr:sp macro="" textlink="">
          <xdr:nvSpPr>
            <xdr:cNvPr id="14351" name="Option Button 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5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0</xdr:rowOff>
        </xdr:from>
        <xdr:to>
          <xdr:col>4</xdr:col>
          <xdr:colOff>352425</xdr:colOff>
          <xdr:row>35</xdr:row>
          <xdr:rowOff>0</xdr:rowOff>
        </xdr:to>
        <xdr:sp macro="" textlink="">
          <xdr:nvSpPr>
            <xdr:cNvPr id="14352" name="Option Button 16" descr="S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5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34</xdr:row>
          <xdr:rowOff>0</xdr:rowOff>
        </xdr:from>
        <xdr:to>
          <xdr:col>5</xdr:col>
          <xdr:colOff>0</xdr:colOff>
          <xdr:row>34</xdr:row>
          <xdr:rowOff>180975</xdr:rowOff>
        </xdr:to>
        <xdr:sp macro="" textlink="">
          <xdr:nvSpPr>
            <xdr:cNvPr id="14353" name="Option Button 17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5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0</xdr:rowOff>
        </xdr:from>
        <xdr:to>
          <xdr:col>4</xdr:col>
          <xdr:colOff>352425</xdr:colOff>
          <xdr:row>36</xdr:row>
          <xdr:rowOff>0</xdr:rowOff>
        </xdr:to>
        <xdr:sp macro="" textlink="">
          <xdr:nvSpPr>
            <xdr:cNvPr id="14354" name="Option Button 18" descr="S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5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35</xdr:row>
          <xdr:rowOff>0</xdr:rowOff>
        </xdr:from>
        <xdr:to>
          <xdr:col>5</xdr:col>
          <xdr:colOff>0</xdr:colOff>
          <xdr:row>35</xdr:row>
          <xdr:rowOff>180975</xdr:rowOff>
        </xdr:to>
        <xdr:sp macro="" textlink="">
          <xdr:nvSpPr>
            <xdr:cNvPr id="14355" name="Option Button 19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5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36</xdr:row>
          <xdr:rowOff>0</xdr:rowOff>
        </xdr:from>
        <xdr:to>
          <xdr:col>4</xdr:col>
          <xdr:colOff>352425</xdr:colOff>
          <xdr:row>36</xdr:row>
          <xdr:rowOff>190500</xdr:rowOff>
        </xdr:to>
        <xdr:sp macro="" textlink="">
          <xdr:nvSpPr>
            <xdr:cNvPr id="14356" name="Option Button 20" descr="S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5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36</xdr:row>
          <xdr:rowOff>0</xdr:rowOff>
        </xdr:from>
        <xdr:to>
          <xdr:col>5</xdr:col>
          <xdr:colOff>0</xdr:colOff>
          <xdr:row>36</xdr:row>
          <xdr:rowOff>180975</xdr:rowOff>
        </xdr:to>
        <xdr:sp macro="" textlink="">
          <xdr:nvSpPr>
            <xdr:cNvPr id="14357" name="Option Button 21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5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31</xdr:row>
          <xdr:rowOff>0</xdr:rowOff>
        </xdr:from>
        <xdr:to>
          <xdr:col>5</xdr:col>
          <xdr:colOff>371475</xdr:colOff>
          <xdr:row>32</xdr:row>
          <xdr:rowOff>0</xdr:rowOff>
        </xdr:to>
        <xdr:sp macro="" textlink="">
          <xdr:nvSpPr>
            <xdr:cNvPr id="14358" name="Option Button 22" descr="S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5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31</xdr:row>
          <xdr:rowOff>0</xdr:rowOff>
        </xdr:from>
        <xdr:to>
          <xdr:col>5</xdr:col>
          <xdr:colOff>723900</xdr:colOff>
          <xdr:row>31</xdr:row>
          <xdr:rowOff>180975</xdr:rowOff>
        </xdr:to>
        <xdr:sp macro="" textlink="">
          <xdr:nvSpPr>
            <xdr:cNvPr id="14359" name="Option Button 23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5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32</xdr:row>
          <xdr:rowOff>0</xdr:rowOff>
        </xdr:from>
        <xdr:to>
          <xdr:col>5</xdr:col>
          <xdr:colOff>371475</xdr:colOff>
          <xdr:row>33</xdr:row>
          <xdr:rowOff>0</xdr:rowOff>
        </xdr:to>
        <xdr:sp macro="" textlink="">
          <xdr:nvSpPr>
            <xdr:cNvPr id="14360" name="Option Button 24" descr="S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5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32</xdr:row>
          <xdr:rowOff>0</xdr:rowOff>
        </xdr:from>
        <xdr:to>
          <xdr:col>5</xdr:col>
          <xdr:colOff>723900</xdr:colOff>
          <xdr:row>32</xdr:row>
          <xdr:rowOff>180975</xdr:rowOff>
        </xdr:to>
        <xdr:sp macro="" textlink="">
          <xdr:nvSpPr>
            <xdr:cNvPr id="14361" name="Option Button 25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5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33</xdr:row>
          <xdr:rowOff>0</xdr:rowOff>
        </xdr:from>
        <xdr:to>
          <xdr:col>5</xdr:col>
          <xdr:colOff>371475</xdr:colOff>
          <xdr:row>34</xdr:row>
          <xdr:rowOff>0</xdr:rowOff>
        </xdr:to>
        <xdr:sp macro="" textlink="">
          <xdr:nvSpPr>
            <xdr:cNvPr id="14362" name="Option Button 26" descr="S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5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33</xdr:row>
          <xdr:rowOff>0</xdr:rowOff>
        </xdr:from>
        <xdr:to>
          <xdr:col>5</xdr:col>
          <xdr:colOff>723900</xdr:colOff>
          <xdr:row>33</xdr:row>
          <xdr:rowOff>180975</xdr:rowOff>
        </xdr:to>
        <xdr:sp macro="" textlink="">
          <xdr:nvSpPr>
            <xdr:cNvPr id="14363" name="Option Button 27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5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14364" name="Group Box 28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5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34</xdr:row>
          <xdr:rowOff>0</xdr:rowOff>
        </xdr:from>
        <xdr:to>
          <xdr:col>5</xdr:col>
          <xdr:colOff>371475</xdr:colOff>
          <xdr:row>35</xdr:row>
          <xdr:rowOff>0</xdr:rowOff>
        </xdr:to>
        <xdr:sp macro="" textlink="">
          <xdr:nvSpPr>
            <xdr:cNvPr id="14365" name="Option Button 29" descr="S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5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34</xdr:row>
          <xdr:rowOff>0</xdr:rowOff>
        </xdr:from>
        <xdr:to>
          <xdr:col>5</xdr:col>
          <xdr:colOff>723900</xdr:colOff>
          <xdr:row>34</xdr:row>
          <xdr:rowOff>180975</xdr:rowOff>
        </xdr:to>
        <xdr:sp macro="" textlink="">
          <xdr:nvSpPr>
            <xdr:cNvPr id="14366" name="Option Button 30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5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35</xdr:row>
          <xdr:rowOff>0</xdr:rowOff>
        </xdr:from>
        <xdr:to>
          <xdr:col>5</xdr:col>
          <xdr:colOff>371475</xdr:colOff>
          <xdr:row>36</xdr:row>
          <xdr:rowOff>0</xdr:rowOff>
        </xdr:to>
        <xdr:sp macro="" textlink="">
          <xdr:nvSpPr>
            <xdr:cNvPr id="14367" name="Option Button 31" descr="S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5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35</xdr:row>
          <xdr:rowOff>0</xdr:rowOff>
        </xdr:from>
        <xdr:to>
          <xdr:col>5</xdr:col>
          <xdr:colOff>723900</xdr:colOff>
          <xdr:row>35</xdr:row>
          <xdr:rowOff>180975</xdr:rowOff>
        </xdr:to>
        <xdr:sp macro="" textlink="">
          <xdr:nvSpPr>
            <xdr:cNvPr id="14368" name="Option Button 32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5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36</xdr:row>
          <xdr:rowOff>0</xdr:rowOff>
        </xdr:from>
        <xdr:to>
          <xdr:col>5</xdr:col>
          <xdr:colOff>371475</xdr:colOff>
          <xdr:row>36</xdr:row>
          <xdr:rowOff>190500</xdr:rowOff>
        </xdr:to>
        <xdr:sp macro="" textlink="">
          <xdr:nvSpPr>
            <xdr:cNvPr id="14369" name="Option Button 33" descr="S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5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36</xdr:row>
          <xdr:rowOff>0</xdr:rowOff>
        </xdr:from>
        <xdr:to>
          <xdr:col>5</xdr:col>
          <xdr:colOff>723900</xdr:colOff>
          <xdr:row>36</xdr:row>
          <xdr:rowOff>180975</xdr:rowOff>
        </xdr:to>
        <xdr:sp macro="" textlink="">
          <xdr:nvSpPr>
            <xdr:cNvPr id="14370" name="Option Button 34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5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14371" name="Group Box 35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5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14372" name="Group Box 36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5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57150</xdr:rowOff>
        </xdr:from>
        <xdr:to>
          <xdr:col>3</xdr:col>
          <xdr:colOff>361950</xdr:colOff>
          <xdr:row>29</xdr:row>
          <xdr:rowOff>152400</xdr:rowOff>
        </xdr:to>
        <xdr:sp macro="" textlink="">
          <xdr:nvSpPr>
            <xdr:cNvPr id="14373" name="Option Button 37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5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29</xdr:row>
          <xdr:rowOff>28575</xdr:rowOff>
        </xdr:from>
        <xdr:to>
          <xdr:col>4</xdr:col>
          <xdr:colOff>342900</xdr:colOff>
          <xdr:row>29</xdr:row>
          <xdr:rowOff>161925</xdr:rowOff>
        </xdr:to>
        <xdr:sp macro="" textlink="">
          <xdr:nvSpPr>
            <xdr:cNvPr id="14374" name="Option Button 38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5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14375" name="Group Box 39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5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0</xdr:rowOff>
        </xdr:from>
        <xdr:to>
          <xdr:col>4</xdr:col>
          <xdr:colOff>352425</xdr:colOff>
          <xdr:row>32</xdr:row>
          <xdr:rowOff>0</xdr:rowOff>
        </xdr:to>
        <xdr:sp macro="" textlink="">
          <xdr:nvSpPr>
            <xdr:cNvPr id="14376" name="Option Button 40" descr="S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5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31</xdr:row>
          <xdr:rowOff>9525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14377" name="Option Button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5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37</xdr:row>
          <xdr:rowOff>38100</xdr:rowOff>
        </xdr:from>
        <xdr:to>
          <xdr:col>3</xdr:col>
          <xdr:colOff>371475</xdr:colOff>
          <xdr:row>37</xdr:row>
          <xdr:rowOff>161925</xdr:rowOff>
        </xdr:to>
        <xdr:sp macro="" textlink="">
          <xdr:nvSpPr>
            <xdr:cNvPr id="14378" name="Option Button 42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5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37</xdr:row>
          <xdr:rowOff>38100</xdr:rowOff>
        </xdr:from>
        <xdr:to>
          <xdr:col>4</xdr:col>
          <xdr:colOff>266700</xdr:colOff>
          <xdr:row>37</xdr:row>
          <xdr:rowOff>161925</xdr:rowOff>
        </xdr:to>
        <xdr:sp macro="" textlink="">
          <xdr:nvSpPr>
            <xdr:cNvPr id="14379" name="Option Button 43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5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31</xdr:row>
      <xdr:rowOff>2198</xdr:rowOff>
    </xdr:from>
    <xdr:to>
      <xdr:col>6</xdr:col>
      <xdr:colOff>201490</xdr:colOff>
      <xdr:row>36</xdr:row>
      <xdr:rowOff>194164</xdr:rowOff>
    </xdr:to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/>
      </xdr:nvSpPr>
      <xdr:spPr>
        <a:xfrm>
          <a:off x="3305175" y="7746023"/>
          <a:ext cx="201490" cy="1144466"/>
        </a:xfrm>
        <a:prstGeom prst="rect">
          <a:avLst/>
        </a:prstGeom>
        <a:solidFill>
          <a:schemeClr val="bg1">
            <a:lumMod val="85000"/>
          </a:schemeClr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pt-BR" sz="1000"/>
            <a:t>Retirado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56</xdr:row>
          <xdr:rowOff>9525</xdr:rowOff>
        </xdr:from>
        <xdr:to>
          <xdr:col>10</xdr:col>
          <xdr:colOff>809625</xdr:colOff>
          <xdr:row>58</xdr:row>
          <xdr:rowOff>0</xdr:rowOff>
        </xdr:to>
        <xdr:sp macro="" textlink="">
          <xdr:nvSpPr>
            <xdr:cNvPr id="14380" name="Button 44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5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56</xdr:row>
          <xdr:rowOff>9525</xdr:rowOff>
        </xdr:from>
        <xdr:to>
          <xdr:col>2</xdr:col>
          <xdr:colOff>219075</xdr:colOff>
          <xdr:row>58</xdr:row>
          <xdr:rowOff>0</xdr:rowOff>
        </xdr:to>
        <xdr:sp macro="" textlink="">
          <xdr:nvSpPr>
            <xdr:cNvPr id="14381" name="Button 45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5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0</xdr:row>
      <xdr:rowOff>47625</xdr:rowOff>
    </xdr:from>
    <xdr:to>
      <xdr:col>1</xdr:col>
      <xdr:colOff>495300</xdr:colOff>
      <xdr:row>3</xdr:row>
      <xdr:rowOff>133430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47625"/>
          <a:ext cx="476250" cy="54300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007366\Desktop\6%20-%20Ficha%20de%20Visita%20Autom&#225;tica%20-%20Val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rquivos%20de%20valida&#231;&#227;o\6%20-%20Ficha%20de%20Visita%20Autom&#225;tica%20-%20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s06\eqah\KfW\1%20-%20Dados%20Gerados%20pelas%20Esta&#231;&#245;es\4%20-%20Tratamento%20dos%20Dados\Sonda%20YSI\Ficha%20das%20Sondas\Back-up\Back-Up%20-%206%20-%20Ficha%20de%20Visita%20Autom&#225;tic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s06\eqah\KfW\1%20-%20Dados%20Gerados%20pelas%20Esta&#231;&#245;es\4%20-%20Tratamento%20dos%20Dados\Sonda%20YSI\Ficha%20das%20Sondas\Back-up\6%20-%20Ficha%20de%20Visita%20Autom&#225;ticaBac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ício"/>
      <sheetName val="Ficha de Visita"/>
      <sheetName val="Listas"/>
      <sheetName val="Registros"/>
      <sheetName val="Ficha de Visita - Edição"/>
    </sheetNames>
    <sheetDataSet>
      <sheetData sheetId="0" refreshError="1"/>
      <sheetData sheetId="1" refreshError="1"/>
      <sheetData sheetId="2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ício"/>
      <sheetName val="Ficha de Visita"/>
      <sheetName val="Listas"/>
      <sheetName val="Registros"/>
      <sheetName val="Ficha de Visita - Edição"/>
    </sheetNames>
    <sheetDataSet>
      <sheetData sheetId="0" refreshError="1"/>
      <sheetData sheetId="1" refreshError="1"/>
      <sheetData sheetId="2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ício"/>
      <sheetName val="Ficha de Visita"/>
      <sheetName val="Listas"/>
      <sheetName val="Registros"/>
      <sheetName val="Ficha de Visita - Edição"/>
    </sheetNames>
    <sheetDataSet>
      <sheetData sheetId="0" refreshError="1"/>
      <sheetData sheetId="1" refreshError="1"/>
      <sheetData sheetId="2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ício"/>
      <sheetName val="Ficha de Visita"/>
      <sheetName val="Listas"/>
      <sheetName val="Registros"/>
      <sheetName val="Ficha de Visita - Edição"/>
      <sheetName val="6 - Ficha de Visita AutomáticaB"/>
    </sheetNames>
    <sheetDataSet>
      <sheetData sheetId="0" refreshError="1"/>
      <sheetData sheetId="1" refreshError="1"/>
      <sheetData sheetId="2">
        <row r="3">
          <cell r="B3" t="str">
            <v>EF01</v>
          </cell>
          <cell r="C3" t="str">
            <v>Mogi das Cruzes</v>
          </cell>
        </row>
        <row r="4">
          <cell r="B4" t="str">
            <v>EF02</v>
          </cell>
          <cell r="C4" t="str">
            <v>Rasgão</v>
          </cell>
        </row>
        <row r="5">
          <cell r="B5" t="str">
            <v>EF03</v>
          </cell>
          <cell r="C5" t="str">
            <v>Laranjal Paulista</v>
          </cell>
        </row>
        <row r="6">
          <cell r="B6" t="str">
            <v>EF04</v>
          </cell>
          <cell r="C6" t="str">
            <v>Cotia</v>
          </cell>
        </row>
        <row r="7">
          <cell r="B7" t="str">
            <v>EF06</v>
          </cell>
          <cell r="C7" t="str">
            <v>Piracicaba</v>
          </cell>
        </row>
        <row r="8">
          <cell r="B8" t="str">
            <v>EF07</v>
          </cell>
          <cell r="C8" t="str">
            <v>Rio Grande</v>
          </cell>
        </row>
        <row r="9">
          <cell r="B9" t="str">
            <v>EF08</v>
          </cell>
          <cell r="C9" t="str">
            <v>Guarapiranga</v>
          </cell>
        </row>
        <row r="10">
          <cell r="B10" t="str">
            <v>EF09</v>
          </cell>
          <cell r="C10" t="str">
            <v>Águas Claras</v>
          </cell>
        </row>
        <row r="11">
          <cell r="B11" t="str">
            <v>EF10</v>
          </cell>
          <cell r="C11" t="str">
            <v>Taquacetuba</v>
          </cell>
        </row>
        <row r="12">
          <cell r="B12" t="str">
            <v>EF11</v>
          </cell>
          <cell r="C12" t="str">
            <v>Summit Control</v>
          </cell>
        </row>
        <row r="13">
          <cell r="B13" t="str">
            <v>EF14</v>
          </cell>
          <cell r="C13" t="str">
            <v>Pedreira</v>
          </cell>
        </row>
        <row r="14">
          <cell r="B14" t="str">
            <v>EF18</v>
          </cell>
          <cell r="C14" t="str">
            <v>Caulim</v>
          </cell>
        </row>
        <row r="15">
          <cell r="B15" t="str">
            <v>EF19</v>
          </cell>
          <cell r="C15" t="str">
            <v>Ribeirão Pires</v>
          </cell>
        </row>
        <row r="16">
          <cell r="B16" t="str">
            <v>EF20</v>
          </cell>
          <cell r="C16" t="str">
            <v>Taiaçupeba</v>
          </cell>
        </row>
        <row r="17">
          <cell r="B17" t="str">
            <v>EF25</v>
          </cell>
          <cell r="C17" t="str">
            <v>Santa Branca</v>
          </cell>
        </row>
        <row r="18">
          <cell r="B18" t="str">
            <v>EF26</v>
          </cell>
          <cell r="C18" t="str">
            <v>Queluz</v>
          </cell>
        </row>
        <row r="19">
          <cell r="B19" t="str">
            <v>EF27</v>
          </cell>
          <cell r="C19" t="str">
            <v>Cantareira - Jacareí</v>
          </cell>
        </row>
        <row r="20">
          <cell r="B20" t="str">
            <v>EF28</v>
          </cell>
          <cell r="C20" t="str">
            <v>Itu</v>
          </cell>
        </row>
        <row r="21">
          <cell r="B21" t="str">
            <v>EF29</v>
          </cell>
          <cell r="C21" t="str">
            <v>Penha</v>
          </cell>
        </row>
      </sheetData>
      <sheetData sheetId="3" refreshError="1"/>
      <sheetData sheetId="4" refreshError="1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Tânia Cristina H. M. Lomazi" refreshedDate="44252.041976504632" createdVersion="4" refreshedVersion="6" minRefreshableVersion="3" recordCount="43" xr:uid="{00000000-000A-0000-FFFF-FFFF06000000}">
  <cacheSource type="worksheet">
    <worksheetSource name="Registros"/>
  </cacheSource>
  <cacheFields count="108">
    <cacheField name="Arquivo " numFmtId="167">
      <sharedItems containsSemiMixedTypes="0" containsString="0" containsNumber="1" containsInteger="1" minValue="1021019" maxValue="29200220" count="82">
        <n v="1190813"/>
        <n v="1190827"/>
        <n v="1190910"/>
        <n v="1191002"/>
        <n v="1191015"/>
        <n v="1191017"/>
        <n v="1191106"/>
        <n v="1191206"/>
        <n v="1191220"/>
        <n v="1200107"/>
        <n v="20191106"/>
        <n v="20191125"/>
        <n v="20191217"/>
        <n v="20200107"/>
        <n v="25190813"/>
        <n v="25190827"/>
        <n v="25190918"/>
        <n v="25191002"/>
        <n v="25191015"/>
        <n v="25191029"/>
        <n v="25191111"/>
        <n v="25191203"/>
        <n v="25191220"/>
        <n v="25200102"/>
        <n v="25200116"/>
        <n v="25200130"/>
        <n v="26190703"/>
        <n v="26190717"/>
        <n v="26190731"/>
        <n v="26190814"/>
        <n v="26190828"/>
        <n v="26190911"/>
        <n v="26191002"/>
        <n v="26191016"/>
        <n v="26191029"/>
        <n v="26191111"/>
        <n v="26191203"/>
        <n v="25200219"/>
        <n v="26200219"/>
        <n v="29200131"/>
        <n v="29200220"/>
        <n v="6200221"/>
        <n v="13210225"/>
        <n v="1201219" u="1"/>
        <n v="20070120" u="1"/>
        <n v="25291019" u="1"/>
        <n v="1061219" u="1"/>
        <n v="1270819" u="1"/>
        <n v="1100919" u="1"/>
        <n v="26030719" u="1"/>
        <n v="25020120" u="1"/>
        <n v="25021019" u="1"/>
        <n v="1130819" u="1"/>
        <n v="20061119" u="1"/>
        <n v="25201219" u="1"/>
        <n v="26030120" u="1"/>
        <n v="1070120" u="1"/>
        <n v="25130819" u="1"/>
        <n v="26200206" u="1"/>
        <n v="26110919" u="1"/>
        <n v="26140819" u="1"/>
        <n v="1171019" u="1"/>
        <n v="26170719" u="1"/>
        <n v="25160120" u="1"/>
        <n v="20171219" u="1"/>
        <n v="1200204" u="1"/>
        <n v="1200205" u="1"/>
        <n v="26021019" u="1"/>
        <n v="1200206" u="1"/>
        <n v="20251119" u="1"/>
        <n v="1061119" u="1"/>
        <n v="25270819" u="1"/>
        <n v="1021019" u="1"/>
        <n v="25031219" u="1"/>
        <n v="26280819" u="1"/>
        <n v="25151019" u="1"/>
        <n v="26310719" u="1"/>
        <n v="25111119" u="1"/>
        <n v="25180919" u="1"/>
        <n v="25300120" u="1"/>
        <n v="1151019" u="1"/>
        <n v="26161019" u="1"/>
      </sharedItems>
    </cacheField>
    <cacheField name="Código da Estação " numFmtId="0">
      <sharedItems/>
    </cacheField>
    <cacheField name="Nome da Estação" numFmtId="0">
      <sharedItems/>
    </cacheField>
    <cacheField name="Técnico1" numFmtId="0">
      <sharedItems/>
    </cacheField>
    <cacheField name="Técnico2" numFmtId="0">
      <sharedItems/>
    </cacheField>
    <cacheField name="DataCalibração" numFmtId="14">
      <sharedItems containsSemiMixedTypes="0" containsNonDate="0" containsDate="1" containsString="0" minDate="2019-07-03T00:00:00" maxDate="2021-02-26T00:00:00"/>
    </cacheField>
    <cacheField name="Hora de Chegada" numFmtId="168">
      <sharedItems containsNonDate="0" containsDate="1" containsString="0" containsBlank="1" minDate="1899-12-30T09:54:00" maxDate="2021-02-25T00:49:30"/>
    </cacheField>
    <cacheField name="HoraCalibração" numFmtId="168">
      <sharedItems containsNonDate="0" containsDate="1" containsString="0" containsBlank="1" minDate="1899-12-30T10:50:00" maxDate="1899-12-30T16:46:00"/>
    </cacheField>
    <cacheField name="TempRef2" numFmtId="0">
      <sharedItems containsString="0" containsBlank="1" containsNumber="1" minValue="15.9" maxValue="30.5"/>
    </cacheField>
    <cacheField name="TempEst2" numFmtId="0">
      <sharedItems containsString="0" containsBlank="1" containsNumber="1" minValue="15.9" maxValue="30.9"/>
    </cacheField>
    <cacheField name="TempDesvio2" numFmtId="0">
      <sharedItems containsMixedTypes="1" containsNumber="1" minValue="0" maxValue="1.5810276679842028"/>
    </cacheField>
    <cacheField name="pHRef2" numFmtId="0">
      <sharedItems containsString="0" containsBlank="1" containsNumber="1" containsInteger="1" minValue="4" maxValue="10"/>
    </cacheField>
    <cacheField name="pHRef3" numFmtId="0">
      <sharedItems containsString="0" containsBlank="1" containsNumber="1" containsInteger="1" minValue="4" maxValue="10"/>
    </cacheField>
    <cacheField name="pHRef4" numFmtId="0">
      <sharedItems containsString="0" containsBlank="1" containsNumber="1" containsInteger="1" minValue="4" maxValue="10"/>
    </cacheField>
    <cacheField name="pHTemp2" numFmtId="0">
      <sharedItems containsString="0" containsBlank="1" containsNumber="1" minValue="17.899999999999999" maxValue="30.7"/>
    </cacheField>
    <cacheField name="pHTemp3" numFmtId="0">
      <sharedItems containsString="0" containsBlank="1" containsNumber="1" minValue="18.335000000000001" maxValue="28.75"/>
    </cacheField>
    <cacheField name="pHTemp4" numFmtId="0">
      <sharedItems containsString="0" containsBlank="1" containsNumber="1" minValue="18.152999999999999" maxValue="28.54"/>
    </cacheField>
    <cacheField name="pHEst2" numFmtId="0">
      <sharedItems containsString="0" containsBlank="1" containsNumber="1" minValue="3.71" maxValue="10.34"/>
    </cacheField>
    <cacheField name="pHEst3" numFmtId="0">
      <sharedItems containsString="0" containsBlank="1" containsNumber="1" minValue="3.93" maxValue="10.07"/>
    </cacheField>
    <cacheField name="pHEst4" numFmtId="0">
      <sharedItems containsString="0" containsBlank="1" containsNumber="1" minValue="3.97" maxValue="10"/>
    </cacheField>
    <cacheField name="pHmV2" numFmtId="0">
      <sharedItems containsString="0" containsBlank="1" containsNumber="1" minValue="-193.9" maxValue="190.5"/>
    </cacheField>
    <cacheField name="pHmV3" numFmtId="0">
      <sharedItems containsString="0" containsBlank="1" containsNumber="1" minValue="-178.7" maxValue="167.9"/>
    </cacheField>
    <cacheField name="pHmV4" numFmtId="0">
      <sharedItems containsString="0" containsBlank="1" containsNumber="1" minValue="170.9" maxValue="171.34"/>
    </cacheField>
    <cacheField name="pHSlope2" numFmtId="0">
      <sharedItems containsString="0" containsBlank="1" containsNumber="1" containsInteger="1" minValue="-58" maxValue="49"/>
    </cacheField>
    <cacheField name="pHSlope3" numFmtId="0">
      <sharedItems containsString="0" containsBlank="1" containsNumber="1" minValue="-57" maxValue="56.14"/>
    </cacheField>
    <cacheField name="pHSlope4" numFmtId="0">
      <sharedItems containsString="0" containsBlank="1" containsNumber="1" minValue="59.07" maxValue="59.07"/>
    </cacheField>
    <cacheField name="pHDesvio2" numFmtId="0">
      <sharedItems containsMixedTypes="1" containsNumber="1" minValue="0.14285714285713347" maxValue="7.2500000000000009"/>
    </cacheField>
    <cacheField name="pHDesvio3" numFmtId="0">
      <sharedItems containsMixedTypes="1" containsNumber="1" minValue="0" maxValue="1.749999999999996"/>
    </cacheField>
    <cacheField name="pHDesvio4" numFmtId="0">
      <sharedItems containsMixedTypes="1" containsNumber="1" minValue="0" maxValue="0.74999999999999512"/>
    </cacheField>
    <cacheField name="CondRef2" numFmtId="0">
      <sharedItems containsString="0" containsBlank="1" containsNumber="1" minValue="146.69999999999999" maxValue="1410"/>
    </cacheField>
    <cacheField name="CondEst2" numFmtId="0">
      <sharedItems containsString="0" containsBlank="1" containsNumber="1" minValue="143.69999999999999" maxValue="1448"/>
    </cacheField>
    <cacheField name="ConstanteK" numFmtId="0">
      <sharedItems containsString="0" containsBlank="1" containsNumber="1" minValue="0.47" maxValue="5.13"/>
    </cacheField>
    <cacheField name="LeituraAr" numFmtId="0">
      <sharedItems containsString="0" containsBlank="1" containsNumber="1" minValue="0" maxValue="2.2000000000000002"/>
    </cacheField>
    <cacheField name="CondDesvio2" numFmtId="0">
      <sharedItems containsMixedTypes="1" containsNumber="1" minValue="0" maxValue="3.2038173142467707"/>
    </cacheField>
    <cacheField name="ODTemp" numFmtId="0">
      <sharedItems containsString="0" containsBlank="1" containsNumber="1" minValue="16.78" maxValue="34.18"/>
    </cacheField>
    <cacheField name="ODPressao" numFmtId="0">
      <sharedItems containsString="0" containsBlank="1" containsNumber="1" minValue="694.9" maxValue="728.2"/>
    </cacheField>
    <cacheField name="ODRefmg" numFmtId="0">
      <sharedItems containsMixedTypes="1" containsNumber="1" minValue="6.6397506457588271" maxValue="9.2657233895160687"/>
    </cacheField>
    <cacheField name="ODRef%" numFmtId="0">
      <sharedItems containsMixedTypes="1" containsNumber="1" minValue="91.434210526315795" maxValue="95.81578947368422"/>
    </cacheField>
    <cacheField name="ODEstmg" numFmtId="0">
      <sharedItems containsString="0" containsBlank="1" containsNumber="1" minValue="6.65" maxValue="9.3699999999999992"/>
    </cacheField>
    <cacheField name="ODEst%" numFmtId="0">
      <sharedItems containsString="0" containsBlank="1" containsNumber="1" minValue="90.7" maxValue="96.4"/>
    </cacheField>
    <cacheField name="ODDesvio2" numFmtId="0">
      <sharedItems containsMixedTypes="1" containsNumber="1" minValue="4.6211893378611535E-4" maxValue="2.8203983705865854"/>
    </cacheField>
    <cacheField name="DataTurb1" numFmtId="14">
      <sharedItems containsNonDate="0" containsDate="1" containsString="0" containsBlank="1" minDate="2019-07-02T00:00:00" maxDate="2020-02-20T00:00:00"/>
    </cacheField>
    <cacheField name="DataTurb2" numFmtId="14">
      <sharedItems containsNonDate="0" containsString="0" containsBlank="1"/>
    </cacheField>
    <cacheField name="TurbRef2" numFmtId="0">
      <sharedItems containsString="0" containsBlank="1" containsNumber="1" minValue="95.5" maxValue="113"/>
    </cacheField>
    <cacheField name="TurbRef3" numFmtId="0">
      <sharedItems containsString="0" containsBlank="1" containsNumber="1" containsInteger="1" minValue="105" maxValue="108"/>
    </cacheField>
    <cacheField name="TurbEst2" numFmtId="0">
      <sharedItems containsString="0" containsBlank="1" containsNumber="1" minValue="90.3" maxValue="110.09"/>
    </cacheField>
    <cacheField name="TurbEst3" numFmtId="0">
      <sharedItems containsNonDate="0" containsString="0" containsBlank="1"/>
    </cacheField>
    <cacheField name="TurbDesvio2" numFmtId="0">
      <sharedItems containsMixedTypes="1" containsNumber="1" minValue="0.19607843137254832" maxValue="13.783783783783775"/>
    </cacheField>
    <cacheField name="TurbDesvio3" numFmtId="0">
      <sharedItems/>
    </cacheField>
    <cacheField name="SondaSubstituida" numFmtId="0">
      <sharedItems containsSemiMixedTypes="0" containsString="0" containsNumber="1" containsInteger="1" minValue="1" maxValue="2"/>
    </cacheField>
    <cacheField name="SérieSondaInstalada" numFmtId="0">
      <sharedItems containsBlank="1"/>
    </cacheField>
    <cacheField name="TempSubstituido" numFmtId="0">
      <sharedItems containsSemiMixedTypes="0" containsString="0" containsNumber="1" containsInteger="1" minValue="2" maxValue="2"/>
    </cacheField>
    <cacheField name="pHSubstuido" numFmtId="0">
      <sharedItems containsSemiMixedTypes="0" containsString="0" containsNumber="1" containsInteger="1" minValue="1" maxValue="2"/>
    </cacheField>
    <cacheField name="ODSubstuido" numFmtId="0">
      <sharedItems containsSemiMixedTypes="0" containsString="0" containsNumber="1" containsInteger="1" minValue="1" maxValue="2"/>
    </cacheField>
    <cacheField name="CondSubstuido" numFmtId="0">
      <sharedItems containsSemiMixedTypes="0" containsString="0" containsNumber="1" containsInteger="1" minValue="2" maxValue="2"/>
    </cacheField>
    <cacheField name="TurbSubstuido" numFmtId="0">
      <sharedItems containsMixedTypes="1" containsNumber="1" containsInteger="1" minValue="2" maxValue="2"/>
    </cacheField>
    <cacheField name="OutroSubstuido" numFmtId="0">
      <sharedItems containsSemiMixedTypes="0" containsString="0" containsNumber="1" containsInteger="1" minValue="2" maxValue="2"/>
    </cacheField>
    <cacheField name="BateriaSubstuido" numFmtId="0">
      <sharedItems containsSemiMixedTypes="0" containsString="0" containsNumber="1" containsInteger="1" minValue="1" maxValue="2"/>
    </cacheField>
    <cacheField name="TempCalibrado" numFmtId="0">
      <sharedItems containsSemiMixedTypes="0" containsString="0" containsNumber="1" containsInteger="1" minValue="2" maxValue="2"/>
    </cacheField>
    <cacheField name="pHCalibrado" numFmtId="0">
      <sharedItems containsSemiMixedTypes="0" containsString="0" containsNumber="1" containsInteger="1" minValue="1" maxValue="2"/>
    </cacheField>
    <cacheField name="ODCalibrado" numFmtId="0">
      <sharedItems containsSemiMixedTypes="0" containsString="0" containsNumber="1" containsInteger="1" minValue="1" maxValue="2"/>
    </cacheField>
    <cacheField name="CondCalibrado" numFmtId="0">
      <sharedItems containsSemiMixedTypes="0" containsString="0" containsNumber="1" containsInteger="1" minValue="1" maxValue="2"/>
    </cacheField>
    <cacheField name="TurbCalibrado" numFmtId="0">
      <sharedItems containsMixedTypes="1" containsNumber="1" containsInteger="1" minValue="1" maxValue="2"/>
    </cacheField>
    <cacheField name="OutroCalibrado" numFmtId="0">
      <sharedItems containsSemiMixedTypes="0" containsString="0" containsNumber="1" containsInteger="1" minValue="2" maxValue="2"/>
    </cacheField>
    <cacheField name="TempRetir" numFmtId="0">
      <sharedItems containsNonDate="0" containsString="0" containsBlank="1"/>
    </cacheField>
    <cacheField name="TempInst" numFmtId="0">
      <sharedItems containsNonDate="0" containsString="0" containsBlank="1"/>
    </cacheField>
    <cacheField name="pHRetir" numFmtId="0">
      <sharedItems containsNonDate="0" containsString="0" containsBlank="1"/>
    </cacheField>
    <cacheField name="pHInst" numFmtId="0">
      <sharedItems containsNonDate="0" containsString="0" containsBlank="1"/>
    </cacheField>
    <cacheField name="ODRetir" numFmtId="0">
      <sharedItems containsBlank="1"/>
    </cacheField>
    <cacheField name="ODInst" numFmtId="0">
      <sharedItems containsBlank="1"/>
    </cacheField>
    <cacheField name="CondRetir" numFmtId="0">
      <sharedItems containsNonDate="0" containsString="0" containsBlank="1"/>
    </cacheField>
    <cacheField name="CondInst" numFmtId="0">
      <sharedItems containsNonDate="0" containsString="0" containsBlank="1"/>
    </cacheField>
    <cacheField name="TurbRetir" numFmtId="0">
      <sharedItems containsNonDate="0" containsString="0" containsBlank="1"/>
    </cacheField>
    <cacheField name="TurbInst" numFmtId="0">
      <sharedItems containsNonDate="0" containsString="0" containsBlank="1"/>
    </cacheField>
    <cacheField name="OutroSensor1" numFmtId="0">
      <sharedItems containsNonDate="0" containsString="0" containsBlank="1"/>
    </cacheField>
    <cacheField name="OutroRetir" numFmtId="0">
      <sharedItems containsNonDate="0" containsString="0" containsBlank="1"/>
    </cacheField>
    <cacheField name="OutroInst" numFmtId="0">
      <sharedItems containsNonDate="0" containsString="0" containsBlank="1"/>
    </cacheField>
    <cacheField name="Comentario2" numFmtId="0">
      <sharedItems containsBlank="1"/>
    </cacheField>
    <cacheField name="DataVerificação" numFmtId="14">
      <sharedItems containsNonDate="0" containsDate="1" containsString="0" containsBlank="1" minDate="2019-07-17T00:00:00" maxDate="2020-02-21T00:00:00"/>
    </cacheField>
    <cacheField name="Hora de Verificação" numFmtId="168">
      <sharedItems containsNonDate="0" containsDate="1" containsString="0" containsBlank="1" minDate="1899-12-30T10:05:00" maxDate="1899-12-30T16:10:00"/>
    </cacheField>
    <cacheField name="SérieSondaRef" numFmtId="0">
      <sharedItems containsBlank="1"/>
    </cacheField>
    <cacheField name="SérieSondaEst" numFmtId="0">
      <sharedItems containsBlank="1"/>
    </cacheField>
    <cacheField name="TempRef" numFmtId="0">
      <sharedItems containsString="0" containsBlank="1" containsNumber="1" minValue="17.190000000000001" maxValue="26.53"/>
    </cacheField>
    <cacheField name="TempEst" numFmtId="0">
      <sharedItems containsString="0" containsBlank="1" containsNumber="1" minValue="17.23" maxValue="26.59"/>
    </cacheField>
    <cacheField name="TempDesvio" numFmtId="0">
      <sharedItems containsBlank="1" containsMixedTypes="1" containsNumber="1" minValue="0" maxValue="100"/>
    </cacheField>
    <cacheField name="pHRef" numFmtId="0">
      <sharedItems containsString="0" containsBlank="1" containsNumber="1" minValue="3.84" maxValue="7.11"/>
    </cacheField>
    <cacheField name="pHEst" numFmtId="0">
      <sharedItems containsString="0" containsBlank="1" containsNumber="1" minValue="6.06" maxValue="7.34"/>
    </cacheField>
    <cacheField name="pHDesvio" numFmtId="0">
      <sharedItems containsBlank="1" containsMixedTypes="1" containsNumber="1" minValue="0" maxValue="100"/>
    </cacheField>
    <cacheField name="ODRef" numFmtId="0">
      <sharedItems containsString="0" containsBlank="1" containsNumber="1" minValue="0.28999999999999998" maxValue="7.12"/>
    </cacheField>
    <cacheField name="ODEst" numFmtId="0">
      <sharedItems containsString="0" containsBlank="1" containsNumber="1" minValue="0.12" maxValue="7.17"/>
    </cacheField>
    <cacheField name="ODDesvio" numFmtId="0">
      <sharedItems containsBlank="1" containsMixedTypes="1" containsNumber="1" minValue="0" maxValue="100"/>
    </cacheField>
    <cacheField name="CondRef" numFmtId="0">
      <sharedItems containsString="0" containsBlank="1" containsNumber="1" minValue="32.200000000000003" maxValue="343.9"/>
    </cacheField>
    <cacheField name="CondEst" numFmtId="0">
      <sharedItems containsString="0" containsBlank="1" containsNumber="1" minValue="31.7" maxValue="335.9"/>
    </cacheField>
    <cacheField name="CondDesvio" numFmtId="0">
      <sharedItems containsBlank="1" containsMixedTypes="1" containsNumber="1" minValue="0.12391573729861882" maxValue="100"/>
    </cacheField>
    <cacheField name="TurbRef" numFmtId="0">
      <sharedItems containsString="0" containsBlank="1" containsNumber="1" minValue="1.84" maxValue="47.5"/>
    </cacheField>
    <cacheField name="TurbEst" numFmtId="0">
      <sharedItems containsString="0" containsBlank="1" containsNumber="1" minValue="1.86" maxValue="52.24"/>
    </cacheField>
    <cacheField name="TurbDesvio" numFmtId="0">
      <sharedItems containsBlank="1" containsMixedTypes="1" containsNumber="1" minValue="0.49382716049383157" maxValue="100"/>
    </cacheField>
    <cacheField name="OutroSensor" numFmtId="0">
      <sharedItems containsBlank="1"/>
    </cacheField>
    <cacheField name="OutroRef" numFmtId="0">
      <sharedItems containsString="0" containsBlank="1" containsNumber="1" minValue="0.56000000000000005" maxValue="9.0500000000000007"/>
    </cacheField>
    <cacheField name="OutroEst" numFmtId="0">
      <sharedItems containsString="0" containsBlank="1" containsNumber="1" minValue="-0.41" maxValue="-0.41"/>
    </cacheField>
    <cacheField name="OutroDesvio" numFmtId="0">
      <sharedItems containsBlank="1" containsMixedTypes="1" containsNumber="1" minValue="173.21428571428569" maxValue="173.21428571428569"/>
    </cacheField>
    <cacheField name="BateriaSondaEst" numFmtId="0">
      <sharedItems containsString="0" containsBlank="1" containsNumber="1" minValue="4.49" maxValue="6.37"/>
    </cacheField>
    <cacheField name="Comentario1" numFmtId="0">
      <sharedItems containsBlank="1"/>
    </cacheField>
    <cacheField name="Técnico" numFmtId="0">
      <sharedItems containsBlank="1"/>
    </cacheField>
    <cacheField name="Técnico3" numFmtId="0">
      <sharedItems containsBlank="1"/>
    </cacheField>
    <cacheField name="Mês" numFmtId="0">
      <sharedItems containsBlank="1" count="9">
        <s v="Agosto"/>
        <s v="Setembro"/>
        <s v="Janeiro"/>
        <s v="Julho"/>
        <s v="Fevereiro"/>
        <m u="1"/>
        <s v="Dezembro" u="1"/>
        <s v="Outubro" u="1"/>
        <s v="Novembro" u="1"/>
      </sharedItems>
    </cacheField>
    <cacheField name="Ano" numFmtId="0">
      <sharedItems containsSemiMixedTypes="0" containsString="0" containsNumber="1" containsInteger="1" minValue="1900" maxValue="2021" count="4">
        <n v="2019"/>
        <n v="2020"/>
        <n v="2021"/>
        <n v="1900" u="1"/>
      </sharedItems>
    </cacheField>
    <cacheField name="Código+Nome" numFmtId="0">
      <sharedItems containsBlank="1" count="27">
        <s v="COD001 Estação 1"/>
        <s v="COD002  Estação 2"/>
        <s v="COD003 Estação 3"/>
        <s v="COD004 Estação 4"/>
        <s v="COD005 Estação 5"/>
        <s v="COD011 Estação 11"/>
        <s v="COD012 Estação 12"/>
        <s v="COD013 Estação 13"/>
        <s v="COD014 Estação 14"/>
        <s v="COD015 Estação 15"/>
        <s v="COD016 Estação 16"/>
        <s v="COD006 Estação 6"/>
        <s v="COD007 Estação 7"/>
        <s v="COD008 Estação 8"/>
        <s v="COD009 Estação 9"/>
        <s v="COD010 Estação 10"/>
        <s v="COD017 Estação 17"/>
        <s v="COD018 Estação 18"/>
        <s v="COD019 Estação 19"/>
        <m u="1"/>
        <s v="EF20 Taiaçupeba" u="1"/>
        <e v="#VALUE!" u="1"/>
        <s v="EF01 Mogi das Cruzes" u="1"/>
        <s v="EF26 Queluz" u="1"/>
        <s v="EF25 Santa Branca" u="1"/>
        <s v=" " u="1"/>
        <s v="EF29 Penha" u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s v="COD001"/>
    <s v="Estação 1"/>
    <s v="Ricardo"/>
    <s v="Tânia"/>
    <d v="2019-08-13T00:00:00"/>
    <d v="1899-12-30T12:10:00"/>
    <m/>
    <n v="21.2"/>
    <n v="20.9"/>
    <n v="1.4150943396226467"/>
    <n v="7"/>
    <m/>
    <m/>
    <n v="20.7"/>
    <m/>
    <m/>
    <n v="7.07"/>
    <m/>
    <m/>
    <m/>
    <m/>
    <m/>
    <m/>
    <m/>
    <m/>
    <n v="1.0000000000000009"/>
    <s v="%"/>
    <s v="%"/>
    <n v="147"/>
    <n v="145.6"/>
    <m/>
    <n v="0"/>
    <n v="0.9523809523809601"/>
    <n v="18.18"/>
    <n v="702.5"/>
    <n v="8.7040155574349072"/>
    <n v="92.434210526315795"/>
    <n v="8.7100000000000009"/>
    <n v="92.3"/>
    <n v="6.8754961725470132E-2"/>
    <d v="2019-08-12T00:00:00"/>
    <m/>
    <n v="98.5"/>
    <m/>
    <n v="96.6"/>
    <m/>
    <n v="1.9289340101522945"/>
    <s v="%"/>
    <n v="2"/>
    <s v="17H 103742"/>
    <n v="2"/>
    <n v="2"/>
    <n v="2"/>
    <n v="2"/>
    <s v="Referência"/>
    <n v="2"/>
    <n v="2"/>
    <n v="2"/>
    <n v="2"/>
    <n v="2"/>
    <n v="2"/>
    <s v="Estação"/>
    <n v="2"/>
    <m/>
    <m/>
    <m/>
    <m/>
    <m/>
    <m/>
    <m/>
    <m/>
    <m/>
    <m/>
    <m/>
    <m/>
    <m/>
    <m/>
    <d v="2019-08-27T00:00:00"/>
    <d v="1899-12-30T11:50:00"/>
    <s v="18A 101906"/>
    <s v="17H 103742"/>
    <n v="17.190000000000001"/>
    <n v="17.23"/>
    <n v="0.23269342641070168"/>
    <n v="6.39"/>
    <n v="6.19"/>
    <n v="3.1298904538341055"/>
    <n v="5.81"/>
    <n v="5.73"/>
    <n v="1.376936316695343"/>
    <n v="38.700000000000003"/>
    <n v="38.1"/>
    <n v="1.5503875968992276"/>
    <n v="4.43"/>
    <n v="4.5999999999999996"/>
    <n v="3.8374717832957206"/>
    <m/>
    <m/>
    <m/>
    <s v="%"/>
    <n v="5.32"/>
    <s v="Neste dia foi realizada vistoria com Eng. Luciano da Clean para modernização da estação."/>
    <s v="Valter"/>
    <s v="Tânia"/>
    <x v="0"/>
    <x v="0"/>
    <x v="0"/>
  </r>
  <r>
    <x v="1"/>
    <s v="COD002 "/>
    <s v="Estação 2"/>
    <s v="Gustavo"/>
    <s v="Valter"/>
    <d v="2019-08-27T00:00:00"/>
    <d v="1899-12-30T10:00:00"/>
    <m/>
    <n v="19.2"/>
    <n v="19.22"/>
    <n v="0.10416666666666075"/>
    <n v="10"/>
    <m/>
    <m/>
    <n v="19.22"/>
    <m/>
    <m/>
    <n v="10.19"/>
    <m/>
    <m/>
    <m/>
    <m/>
    <m/>
    <m/>
    <m/>
    <m/>
    <n v="1.8999999999999906"/>
    <s v="%"/>
    <s v="%"/>
    <n v="147"/>
    <n v="145.6"/>
    <m/>
    <n v="0.1"/>
    <n v="0.9523809523809601"/>
    <n v="20.100000000000001"/>
    <n v="704"/>
    <n v="8.3903080385171513"/>
    <n v="92.631578947368425"/>
    <n v="8.41"/>
    <m/>
    <n v="0.23469890965206464"/>
    <d v="2019-08-27T00:00:00"/>
    <m/>
    <n v="100"/>
    <m/>
    <n v="98.4"/>
    <m/>
    <n v="1.5999999999999903"/>
    <s v="%"/>
    <n v="2"/>
    <s v="17H 10374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d v="2019-09-10T00:00:00"/>
    <d v="1899-12-30T14:35:00"/>
    <s v="18A 101906"/>
    <s v="17H 103742"/>
    <n v="20.23"/>
    <n v="20.2"/>
    <n v="0.14829461196244065"/>
    <n v="6.13"/>
    <n v="6.33"/>
    <n v="3.2626427406199143"/>
    <n v="4.9000000000000004"/>
    <n v="5.03"/>
    <n v="2.6530612244897833"/>
    <n v="45"/>
    <n v="45.7"/>
    <n v="1.5555555555555545"/>
    <n v="4.38"/>
    <n v="4.3499999999999996"/>
    <n v="0.68493150684931781"/>
    <m/>
    <m/>
    <m/>
    <s v="%"/>
    <m/>
    <m/>
    <s v="Tânia"/>
    <s v="Valter"/>
    <x v="0"/>
    <x v="0"/>
    <x v="1"/>
  </r>
  <r>
    <x v="2"/>
    <s v="COD003"/>
    <s v="Estação 3"/>
    <s v="Daniel"/>
    <s v="Leonardo"/>
    <d v="2019-09-10T00:00:00"/>
    <d v="1899-12-30T14:10:00"/>
    <m/>
    <n v="27"/>
    <n v="26.81"/>
    <n v="0.70370370370370638"/>
    <n v="10"/>
    <m/>
    <m/>
    <n v="26.82"/>
    <m/>
    <m/>
    <n v="10.119999999999999"/>
    <m/>
    <m/>
    <m/>
    <m/>
    <m/>
    <m/>
    <m/>
    <m/>
    <n v="1.2000000000000011"/>
    <s v="%"/>
    <s v="%"/>
    <n v="147"/>
    <n v="147"/>
    <m/>
    <n v="0.3"/>
    <n v="0"/>
    <n v="26.67"/>
    <n v="697.6"/>
    <n v="7.3345919822557617"/>
    <n v="91.789473684210535"/>
    <n v="7.3"/>
    <n v="91.8"/>
    <n v="0.47162790158536971"/>
    <d v="2019-09-10T00:00:00"/>
    <m/>
    <n v="106"/>
    <m/>
    <n v="99.16"/>
    <m/>
    <n v="6.4528301886792487"/>
    <s v="%"/>
    <n v="2"/>
    <s v="17H 10374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d v="2019-10-02T00:00:00"/>
    <m/>
    <s v="18A 101906"/>
    <s v="17H 103742"/>
    <n v="19.59"/>
    <n v="19.62"/>
    <n v="0.15313935681471325"/>
    <n v="3.87"/>
    <n v="6.06"/>
    <n v="56.589147286821692"/>
    <n v="4.9800000000000004"/>
    <n v="4.9000000000000004"/>
    <n v="1.6064257028112428"/>
    <n v="34.4"/>
    <n v="34"/>
    <n v="1.1627906976744096"/>
    <n v="4.5"/>
    <n v="4.26"/>
    <n v="5.3333333333333339"/>
    <m/>
    <m/>
    <m/>
    <s v="%"/>
    <m/>
    <m/>
    <s v="Edimar"/>
    <s v="Renato"/>
    <x v="1"/>
    <x v="0"/>
    <x v="2"/>
  </r>
  <r>
    <x v="3"/>
    <s v="COD004"/>
    <s v="Estação 4"/>
    <s v="Lilian"/>
    <s v="Ricardo"/>
    <d v="2019-10-02T00:00:00"/>
    <d v="1899-12-30T10:18:00"/>
    <m/>
    <m/>
    <m/>
    <s v="%"/>
    <m/>
    <m/>
    <m/>
    <m/>
    <m/>
    <m/>
    <m/>
    <m/>
    <m/>
    <m/>
    <m/>
    <m/>
    <m/>
    <m/>
    <m/>
    <s v="%"/>
    <s v="%"/>
    <s v="%"/>
    <m/>
    <m/>
    <m/>
    <m/>
    <s v="%"/>
    <m/>
    <m/>
    <s v=""/>
    <s v=""/>
    <m/>
    <m/>
    <s v="%"/>
    <m/>
    <m/>
    <m/>
    <m/>
    <m/>
    <m/>
    <s v="%"/>
    <s v="%"/>
    <n v="1"/>
    <m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d v="2019-10-15T00:00:00"/>
    <d v="1899-12-30T12:35:00"/>
    <s v="18A 101906"/>
    <s v="18A 101903"/>
    <n v="21.43"/>
    <m/>
    <n v="100"/>
    <n v="6.39"/>
    <m/>
    <n v="100"/>
    <n v="4.5"/>
    <m/>
    <n v="100"/>
    <n v="40.799999999999997"/>
    <m/>
    <n v="100"/>
    <n v="4.01"/>
    <m/>
    <n v="100"/>
    <m/>
    <m/>
    <m/>
    <s v="%"/>
    <n v="5"/>
    <m/>
    <s v="Renato"/>
    <s v="Tânia"/>
    <x v="1"/>
    <x v="0"/>
    <x v="3"/>
  </r>
  <r>
    <x v="4"/>
    <s v="COD005"/>
    <s v="Estação 5"/>
    <s v="Andréia"/>
    <s v="Gustavo"/>
    <d v="2019-10-15T00:00:00"/>
    <d v="1899-12-30T12:10:00"/>
    <m/>
    <n v="26"/>
    <n v="26.06"/>
    <n v="0.23076923076923439"/>
    <n v="7"/>
    <m/>
    <m/>
    <n v="26.06"/>
    <m/>
    <m/>
    <n v="7.04"/>
    <m/>
    <m/>
    <n v="-48"/>
    <m/>
    <m/>
    <m/>
    <m/>
    <m/>
    <n v="0.57142857142857828"/>
    <s v="%"/>
    <s v="%"/>
    <n v="147"/>
    <n v="147.1"/>
    <n v="0.47"/>
    <m/>
    <n v="6.8027210884347156E-2"/>
    <n v="25.11"/>
    <n v="700.3"/>
    <n v="7.5782798673521725"/>
    <n v="92.14473684210526"/>
    <n v="7.64"/>
    <n v="92.7"/>
    <n v="0.81443459107022331"/>
    <d v="2019-10-14T00:00:00"/>
    <m/>
    <n v="97.4"/>
    <m/>
    <n v="99.5"/>
    <m/>
    <n v="2.1560574948665145"/>
    <s v="%"/>
    <n v="1"/>
    <s v="17H 103742"/>
    <n v="2"/>
    <n v="2"/>
    <n v="2"/>
    <n v="2"/>
    <n v="2"/>
    <n v="2"/>
    <n v="2"/>
    <n v="2"/>
    <n v="2"/>
    <n v="2"/>
    <n v="1"/>
    <n v="2"/>
    <n v="2"/>
    <m/>
    <m/>
    <m/>
    <m/>
    <m/>
    <m/>
    <m/>
    <m/>
    <m/>
    <m/>
    <m/>
    <m/>
    <m/>
    <m/>
    <d v="2019-10-17T00:00:00"/>
    <m/>
    <m/>
    <s v="17H 103742"/>
    <m/>
    <m/>
    <s v="%"/>
    <m/>
    <m/>
    <s v="%"/>
    <m/>
    <m/>
    <s v="%"/>
    <m/>
    <m/>
    <s v="%"/>
    <m/>
    <m/>
    <s v="%"/>
    <m/>
    <m/>
    <m/>
    <s v="%"/>
    <m/>
    <m/>
    <s v="Renato"/>
    <s v="Tânia"/>
    <x v="1"/>
    <x v="0"/>
    <x v="4"/>
  </r>
  <r>
    <x v="5"/>
    <s v="COD005"/>
    <s v="Estação 5"/>
    <s v="Tânia"/>
    <s v="Daniel"/>
    <d v="2019-10-17T00:00:00"/>
    <m/>
    <m/>
    <n v="24.5"/>
    <n v="24.2"/>
    <n v="1.2244897959183709"/>
    <n v="7"/>
    <m/>
    <m/>
    <n v="24.11"/>
    <m/>
    <m/>
    <n v="7.23"/>
    <m/>
    <m/>
    <n v="-25.7"/>
    <m/>
    <m/>
    <m/>
    <m/>
    <m/>
    <n v="3.2857142857142918"/>
    <s v="%"/>
    <s v="%"/>
    <n v="147"/>
    <n v="146"/>
    <m/>
    <n v="0.3"/>
    <n v="0.68027210884353817"/>
    <n v="23.13"/>
    <n v="703.4"/>
    <n v="7.9019178548567695"/>
    <n v="92.55263157894737"/>
    <n v="7.85"/>
    <n v="91.7"/>
    <n v="0.6570285316856217"/>
    <d v="2019-10-14T00:00:00"/>
    <m/>
    <n v="102"/>
    <m/>
    <n v="95.7"/>
    <m/>
    <n v="6.1764705882352944"/>
    <s v="%"/>
    <n v="2"/>
    <s v="17H 10374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d v="2019-11-06T00:00:00"/>
    <d v="1899-12-30T14:05:00"/>
    <s v="18A 101906"/>
    <s v="17H 103742"/>
    <n v="22.05"/>
    <n v="22.08"/>
    <n v="0.13605442176869431"/>
    <n v="6.38"/>
    <n v="6.15"/>
    <n v="3.6050156739811823"/>
    <n v="3.8"/>
    <n v="3.6"/>
    <n v="5.2631578947368363"/>
    <n v="45.3"/>
    <n v="44.9"/>
    <n v="0.88300220750551217"/>
    <n v="8.35"/>
    <n v="7.61"/>
    <n v="8.8622754491017872"/>
    <m/>
    <m/>
    <m/>
    <s v="%"/>
    <n v="4.49"/>
    <m/>
    <s v="Renato"/>
    <s v="Valter"/>
    <x v="1"/>
    <x v="0"/>
    <x v="4"/>
  </r>
  <r>
    <x v="6"/>
    <s v="COD005"/>
    <s v="Estação 5"/>
    <s v="Valter"/>
    <s v="Lilian"/>
    <d v="2019-11-06T00:00:00"/>
    <d v="1899-12-30T13:45:00"/>
    <m/>
    <n v="24"/>
    <n v="23.91"/>
    <n v="0.37500000000000311"/>
    <n v="7"/>
    <m/>
    <m/>
    <n v="23.9"/>
    <m/>
    <m/>
    <n v="7.15"/>
    <m/>
    <m/>
    <m/>
    <m/>
    <m/>
    <m/>
    <m/>
    <m/>
    <n v="2.1428571428571574"/>
    <s v="%"/>
    <s v="%"/>
    <n v="147"/>
    <n v="146.9"/>
    <m/>
    <n v="0"/>
    <n v="6.8027210884347156E-2"/>
    <n v="21.86"/>
    <n v="699.4"/>
    <n v="8.0501382284723668"/>
    <n v="92.026315789473685"/>
    <n v="8.0399999999999991"/>
    <n v="92"/>
    <n v="0.12593856384366386"/>
    <d v="2019-11-06T00:00:00"/>
    <m/>
    <n v="98"/>
    <m/>
    <n v="96.52"/>
    <m/>
    <n v="1.5102040816326601"/>
    <s v="%"/>
    <n v="2"/>
    <s v="17H 103742"/>
    <n v="2"/>
    <n v="2"/>
    <n v="2"/>
    <n v="2"/>
    <n v="2"/>
    <n v="2"/>
    <n v="1"/>
    <n v="2"/>
    <n v="2"/>
    <n v="2"/>
    <n v="1"/>
    <n v="2"/>
    <n v="2"/>
    <m/>
    <m/>
    <m/>
    <m/>
    <m/>
    <m/>
    <m/>
    <m/>
    <m/>
    <m/>
    <m/>
    <m/>
    <m/>
    <m/>
    <d v="2019-12-06T00:00:00"/>
    <d v="1899-12-30T11:50:00"/>
    <s v="18A 101906"/>
    <s v="17H 103742"/>
    <n v="21.11"/>
    <n v="21.14"/>
    <n v="0.142112742775935"/>
    <n v="6.25"/>
    <n v="6.16"/>
    <n v="1.4399999999999968"/>
    <n v="3.08"/>
    <n v="2.96"/>
    <n v="3.8961038961038974"/>
    <n v="71.7"/>
    <n v="71.3"/>
    <n v="0.55788005578801814"/>
    <n v="35.659999999999997"/>
    <n v="35.44"/>
    <n v="0.61693774537295853"/>
    <m/>
    <n v="4.01"/>
    <m/>
    <s v="%"/>
    <n v="5.52"/>
    <m/>
    <s v="Valter"/>
    <s v="Tânia"/>
    <x v="1"/>
    <x v="0"/>
    <x v="4"/>
  </r>
  <r>
    <x v="7"/>
    <s v="COD005"/>
    <s v="Estação 5"/>
    <s v="Leonardo"/>
    <s v="Andréia"/>
    <d v="2019-12-06T00:00:00"/>
    <d v="1899-12-30T11:38:00"/>
    <d v="1899-12-30T12:07:00"/>
    <n v="22.5"/>
    <n v="22.45"/>
    <n v="0.22222222222222365"/>
    <n v="7"/>
    <m/>
    <m/>
    <n v="22.48"/>
    <m/>
    <m/>
    <n v="7.27"/>
    <m/>
    <m/>
    <n v="-28.1"/>
    <m/>
    <m/>
    <m/>
    <m/>
    <m/>
    <n v="3.8571428571428479"/>
    <s v="%"/>
    <s v="%"/>
    <n v="147"/>
    <n v="143.69999999999999"/>
    <m/>
    <n v="0.1"/>
    <n v="2.2448979591836782"/>
    <n v="21.59"/>
    <n v="696.2"/>
    <n v="8.0545306588411272"/>
    <n v="91.605263157894754"/>
    <n v="8.07"/>
    <n v="91.5"/>
    <n v="0.19205763580889545"/>
    <d v="2019-12-03T00:00:00"/>
    <m/>
    <n v="111"/>
    <m/>
    <n v="95.7"/>
    <m/>
    <n v="13.783783783783775"/>
    <s v="%"/>
    <n v="2"/>
    <s v="17H 10374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d v="2019-12-01T00:00:00"/>
    <m/>
    <m/>
    <m/>
    <m/>
    <m/>
    <s v="%"/>
    <m/>
    <m/>
    <s v="%"/>
    <m/>
    <m/>
    <s v="%"/>
    <m/>
    <m/>
    <s v="%"/>
    <m/>
    <m/>
    <s v="%"/>
    <m/>
    <m/>
    <m/>
    <s v="%"/>
    <m/>
    <m/>
    <m/>
    <m/>
    <x v="1"/>
    <x v="0"/>
    <x v="4"/>
  </r>
  <r>
    <x v="8"/>
    <s v="COD005"/>
    <s v="Estação 5"/>
    <s v="Ricardo"/>
    <s v="Tânia"/>
    <d v="2019-12-20T00:00:00"/>
    <d v="1899-12-30T10:40:00"/>
    <m/>
    <n v="29.1"/>
    <n v="28.9"/>
    <n v="0.68728522336770626"/>
    <n v="7"/>
    <m/>
    <m/>
    <n v="28.88"/>
    <m/>
    <m/>
    <n v="7.27"/>
    <m/>
    <m/>
    <n v="-28.4"/>
    <m/>
    <m/>
    <m/>
    <m/>
    <m/>
    <n v="3.8571428571428479"/>
    <s v="%"/>
    <s v="%"/>
    <n v="147"/>
    <n v="144.30000000000001"/>
    <m/>
    <m/>
    <n v="1.8367346938775397"/>
    <n v="28.4"/>
    <n v="698.6"/>
    <n v="7.1201700759431317"/>
    <n v="91.921052631578959"/>
    <n v="7.08"/>
    <n v="90.7"/>
    <n v="0.56417298343551803"/>
    <d v="2019-12-20T00:00:00"/>
    <m/>
    <n v="107"/>
    <m/>
    <n v="99.12"/>
    <m/>
    <n v="7.3644859813084107"/>
    <s v="%"/>
    <n v="2"/>
    <s v="17H 103742"/>
    <n v="2"/>
    <n v="2"/>
    <n v="2"/>
    <n v="2"/>
    <n v="2"/>
    <n v="2"/>
    <n v="1"/>
    <n v="2"/>
    <n v="2"/>
    <n v="2"/>
    <n v="2"/>
    <n v="2"/>
    <n v="2"/>
    <m/>
    <m/>
    <m/>
    <m/>
    <m/>
    <m/>
    <m/>
    <m/>
    <m/>
    <m/>
    <m/>
    <m/>
    <m/>
    <m/>
    <d v="2020-01-07T00:00:00"/>
    <m/>
    <m/>
    <s v="17H 103742"/>
    <m/>
    <m/>
    <s v="%"/>
    <m/>
    <m/>
    <s v="%"/>
    <m/>
    <m/>
    <s v="%"/>
    <m/>
    <m/>
    <s v="%"/>
    <m/>
    <m/>
    <s v="%"/>
    <m/>
    <m/>
    <m/>
    <s v="%"/>
    <m/>
    <m/>
    <m/>
    <m/>
    <x v="1"/>
    <x v="0"/>
    <x v="4"/>
  </r>
  <r>
    <x v="9"/>
    <s v="COD005"/>
    <s v="Estação 5"/>
    <s v="Gustavo"/>
    <s v="Valter"/>
    <d v="2020-01-07T00:00:00"/>
    <m/>
    <m/>
    <m/>
    <m/>
    <s v="%"/>
    <m/>
    <m/>
    <m/>
    <m/>
    <m/>
    <m/>
    <m/>
    <m/>
    <m/>
    <m/>
    <m/>
    <m/>
    <m/>
    <m/>
    <m/>
    <s v="%"/>
    <s v="%"/>
    <s v="%"/>
    <m/>
    <m/>
    <m/>
    <m/>
    <s v="%"/>
    <m/>
    <m/>
    <s v=""/>
    <s v=""/>
    <m/>
    <m/>
    <s v="%"/>
    <d v="2020-01-06T00:00:00"/>
    <m/>
    <n v="104"/>
    <m/>
    <n v="103.63"/>
    <m/>
    <n v="0.35576923076923173"/>
    <s v="%"/>
    <n v="2"/>
    <s v="17H 10374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1"/>
    <x v="4"/>
  </r>
  <r>
    <x v="10"/>
    <s v="COD011"/>
    <s v="Estação 11"/>
    <s v="Daniel"/>
    <s v="Leonardo"/>
    <d v="2019-11-06T00:00:00"/>
    <d v="1899-12-30T10:10:00"/>
    <d v="1899-12-30T10:50:00"/>
    <n v="23.9"/>
    <n v="24.13"/>
    <n v="0.96234309623430825"/>
    <n v="7"/>
    <m/>
    <m/>
    <n v="23.91"/>
    <m/>
    <m/>
    <n v="7.01"/>
    <m/>
    <m/>
    <m/>
    <m/>
    <m/>
    <m/>
    <m/>
    <m/>
    <n v="0.14285714285713347"/>
    <s v="%"/>
    <s v="%"/>
    <n v="147"/>
    <n v="147.1"/>
    <m/>
    <n v="0"/>
    <n v="6.8027210884347156E-2"/>
    <n v="20.3"/>
    <n v="699"/>
    <n v="8.2960872511464601"/>
    <n v="91.973684210526315"/>
    <n v="8.4499999999999993"/>
    <n v="93.5"/>
    <n v="1.855245059437749"/>
    <d v="2019-11-06T00:00:00"/>
    <m/>
    <n v="98"/>
    <m/>
    <n v="99.22"/>
    <m/>
    <n v="1.2448979591836773"/>
    <s v="%"/>
    <n v="2"/>
    <s v="17H 103749"/>
    <n v="2"/>
    <n v="2"/>
    <n v="2"/>
    <n v="2"/>
    <n v="2"/>
    <n v="2"/>
    <n v="2"/>
    <n v="2"/>
    <n v="2"/>
    <n v="1"/>
    <n v="2"/>
    <n v="2"/>
    <n v="2"/>
    <m/>
    <m/>
    <m/>
    <m/>
    <m/>
    <m/>
    <m/>
    <m/>
    <m/>
    <m/>
    <m/>
    <m/>
    <m/>
    <m/>
    <d v="2019-11-25T00:00:00"/>
    <d v="1899-12-30T11:25:00"/>
    <s v="18A 101906"/>
    <s v="17H 103749"/>
    <n v="23.38"/>
    <n v="23.46"/>
    <n v="0.34217279726262984"/>
    <n v="7.11"/>
    <n v="7.13"/>
    <n v="0.28129395218001729"/>
    <n v="7.12"/>
    <n v="7.17"/>
    <n v="0.70224719101124045"/>
    <n v="50"/>
    <n v="49.3"/>
    <n v="1.4000000000000012"/>
    <n v="1.84"/>
    <n v="1.86"/>
    <n v="1.0869565217391353"/>
    <m/>
    <n v="9.0500000000000007"/>
    <m/>
    <s v="%"/>
    <n v="5.27"/>
    <m/>
    <s v="Valter"/>
    <s v="Tânia"/>
    <x v="1"/>
    <x v="0"/>
    <x v="5"/>
  </r>
  <r>
    <x v="11"/>
    <s v="COD012"/>
    <s v="Estação 12"/>
    <s v="Lilian"/>
    <s v="Lilian"/>
    <d v="2019-11-25T00:00:00"/>
    <d v="1899-12-30T10:40:00"/>
    <d v="1899-12-30T12:00:00"/>
    <n v="23.1"/>
    <n v="22.85"/>
    <n v="1.0822510822510845"/>
    <n v="4"/>
    <n v="4"/>
    <m/>
    <n v="22.84"/>
    <n v="22.38"/>
    <m/>
    <n v="3.71"/>
    <n v="3.93"/>
    <m/>
    <m/>
    <n v="167.9"/>
    <m/>
    <m/>
    <m/>
    <m/>
    <n v="7.2500000000000009"/>
    <n v="1.749999999999996"/>
    <s v="%"/>
    <n v="147"/>
    <n v="144.5"/>
    <m/>
    <n v="0.1"/>
    <n v="1.7006802721088454"/>
    <n v="21.12"/>
    <n v="697.6"/>
    <n v="8.1458378334823749"/>
    <n v="91.789473684210535"/>
    <n v="8.33"/>
    <n v="93.6"/>
    <n v="2.2608130714393937"/>
    <d v="2019-11-25T00:00:00"/>
    <m/>
    <n v="113"/>
    <m/>
    <n v="106.8"/>
    <m/>
    <n v="5.4867256637168182"/>
    <s v="%"/>
    <n v="2"/>
    <s v="17H 103749"/>
    <n v="2"/>
    <n v="2"/>
    <n v="2"/>
    <n v="2"/>
    <n v="2"/>
    <n v="2"/>
    <n v="2"/>
    <n v="2"/>
    <n v="1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0"/>
    <x v="6"/>
  </r>
  <r>
    <x v="12"/>
    <s v="COD013"/>
    <s v="Estação 13"/>
    <s v="Andréia"/>
    <s v="Andréia"/>
    <d v="2019-12-17T00:00:00"/>
    <d v="1899-12-30T10:35:00"/>
    <m/>
    <n v="25.9"/>
    <n v="26"/>
    <n v="0.38610038610038533"/>
    <n v="7"/>
    <m/>
    <m/>
    <n v="26"/>
    <m/>
    <m/>
    <n v="7.12"/>
    <m/>
    <m/>
    <n v="-18.7"/>
    <m/>
    <m/>
    <m/>
    <m/>
    <m/>
    <n v="1.7142857142857126"/>
    <s v="%"/>
    <s v="%"/>
    <n v="147"/>
    <n v="144.30000000000001"/>
    <m/>
    <n v="0.3"/>
    <n v="1.8367346938775397"/>
    <n v="27.12"/>
    <n v="694.9"/>
    <n v="7.2456439753798811"/>
    <n v="91.434210526315795"/>
    <n v="7.45"/>
    <n v="93.8"/>
    <n v="2.8203983705865854"/>
    <d v="2019-12-17T00:00:00"/>
    <m/>
    <m/>
    <m/>
    <n v="104.7"/>
    <m/>
    <n v="3.9449541284403589"/>
    <s v="%"/>
    <n v="2"/>
    <s v="17H 103749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d v="2020-01-07T00:00:00"/>
    <m/>
    <m/>
    <m/>
    <m/>
    <m/>
    <s v="%"/>
    <m/>
    <m/>
    <s v="%"/>
    <m/>
    <m/>
    <s v="%"/>
    <m/>
    <m/>
    <s v="%"/>
    <m/>
    <m/>
    <s v="%"/>
    <m/>
    <m/>
    <m/>
    <s v="%"/>
    <m/>
    <m/>
    <s v="Valter"/>
    <s v="Tânia"/>
    <x v="1"/>
    <x v="0"/>
    <x v="7"/>
  </r>
  <r>
    <x v="13"/>
    <s v="COD014"/>
    <s v="Estação 14"/>
    <s v="Tânia"/>
    <s v="Tânia"/>
    <d v="2020-01-07T00:00:00"/>
    <d v="1899-12-30T15:53:00"/>
    <m/>
    <m/>
    <m/>
    <s v="%"/>
    <m/>
    <m/>
    <m/>
    <m/>
    <m/>
    <m/>
    <m/>
    <m/>
    <m/>
    <m/>
    <m/>
    <m/>
    <m/>
    <m/>
    <m/>
    <s v="%"/>
    <s v="%"/>
    <s v="%"/>
    <m/>
    <m/>
    <m/>
    <m/>
    <s v="%"/>
    <m/>
    <m/>
    <s v=""/>
    <s v=""/>
    <m/>
    <m/>
    <s v="%"/>
    <m/>
    <m/>
    <m/>
    <m/>
    <m/>
    <m/>
    <s v="%"/>
    <s v="%"/>
    <n v="2"/>
    <m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s v="Sonda reprogramada para gravar, sem ser calibrada."/>
    <m/>
    <m/>
    <m/>
    <m/>
    <m/>
    <m/>
    <m/>
    <m/>
    <m/>
    <m/>
    <m/>
    <m/>
    <m/>
    <m/>
    <m/>
    <m/>
    <m/>
    <m/>
    <m/>
    <m/>
    <m/>
    <m/>
    <m/>
    <m/>
    <m/>
    <m/>
    <m/>
    <x v="2"/>
    <x v="1"/>
    <x v="8"/>
  </r>
  <r>
    <x v="14"/>
    <s v="COD015"/>
    <s v="Estação 15"/>
    <s v="Valter"/>
    <s v="Tânia"/>
    <d v="2019-08-13T00:00:00"/>
    <d v="1899-12-30T15:30:00"/>
    <m/>
    <n v="19.899999999999999"/>
    <n v="19.82"/>
    <n v="0.4020100502512447"/>
    <n v="7"/>
    <m/>
    <m/>
    <n v="19.600000000000001"/>
    <m/>
    <m/>
    <n v="7.07"/>
    <m/>
    <m/>
    <m/>
    <m/>
    <m/>
    <m/>
    <m/>
    <m/>
    <n v="1.0000000000000009"/>
    <s v="%"/>
    <s v="%"/>
    <n v="147"/>
    <n v="144.19999999999999"/>
    <m/>
    <m/>
    <n v="1.9047619047619091"/>
    <n v="19.16"/>
    <n v="715.6"/>
    <n v="8.6945223470252948"/>
    <n v="94.15789473684211"/>
    <n v="8.7100000000000009"/>
    <n v="94.2"/>
    <n v="0.17801613886243572"/>
    <d v="2019-08-12T00:00:00"/>
    <m/>
    <n v="98.5"/>
    <m/>
    <n v="98.7"/>
    <m/>
    <n v="0.20304568527920175"/>
    <s v="%"/>
    <n v="2"/>
    <s v="17E 101273"/>
    <n v="2"/>
    <n v="2"/>
    <n v="2"/>
    <n v="2"/>
    <n v="2"/>
    <n v="2"/>
    <n v="2"/>
    <n v="2"/>
    <n v="2"/>
    <n v="2"/>
    <n v="2"/>
    <n v="1"/>
    <n v="2"/>
    <m/>
    <m/>
    <m/>
    <m/>
    <m/>
    <m/>
    <m/>
    <m/>
    <m/>
    <m/>
    <m/>
    <m/>
    <m/>
    <m/>
    <d v="2019-08-27T00:00:00"/>
    <d v="1899-12-30T15:35:00"/>
    <s v="18A 101906"/>
    <s v="17E 101273"/>
    <n v="20"/>
    <n v="19.989999999999998"/>
    <n v="5.0000000000005596E-2"/>
    <n v="6.7"/>
    <n v="6.83"/>
    <n v="1.9402985074626899"/>
    <n v="6.71"/>
    <n v="6.8"/>
    <n v="1.3412816691505292"/>
    <n v="34.5"/>
    <n v="33.700000000000003"/>
    <n v="2.3188405797101352"/>
    <n v="2.7"/>
    <n v="3.14"/>
    <n v="16.296296296296298"/>
    <m/>
    <m/>
    <m/>
    <s v="%"/>
    <m/>
    <m/>
    <s v="Valter"/>
    <s v="Renato"/>
    <x v="0"/>
    <x v="0"/>
    <x v="9"/>
  </r>
  <r>
    <x v="15"/>
    <s v="COD016"/>
    <s v="Estação 16"/>
    <s v="Leonardo"/>
    <s v="Valter"/>
    <d v="2019-08-27T00:00:00"/>
    <d v="1899-12-30T15:05:00"/>
    <m/>
    <n v="23.2"/>
    <n v="23"/>
    <n v="0.86206896551723755"/>
    <n v="10"/>
    <m/>
    <m/>
    <m/>
    <m/>
    <m/>
    <n v="10.18"/>
    <m/>
    <m/>
    <m/>
    <m/>
    <m/>
    <m/>
    <m/>
    <m/>
    <n v="1.8000000000000016"/>
    <s v="%"/>
    <s v="%"/>
    <n v="147"/>
    <n v="146.9"/>
    <m/>
    <m/>
    <n v="6.8027210884347156E-2"/>
    <n v="25.2"/>
    <n v="714.9"/>
    <n v="7.7288735820369494"/>
    <n v="94.065789473684205"/>
    <n v="7.76"/>
    <n v="94.8"/>
    <n v="0.40272903460851772"/>
    <d v="2019-08-27T00:00:00"/>
    <m/>
    <m/>
    <m/>
    <n v="102.59"/>
    <m/>
    <n v="2.5900000000000034"/>
    <s v="%"/>
    <n v="2"/>
    <s v="17E 101273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d v="2019-09-18T00:00:00"/>
    <d v="1899-12-30T11:40:00"/>
    <s v="18A 101906"/>
    <s v="17E 101273"/>
    <n v="20.260000000000002"/>
    <n v="20.25"/>
    <n v="4.9358341559735397E-2"/>
    <n v="6.66"/>
    <n v="6.85"/>
    <n v="2.8528528528528385"/>
    <n v="6.68"/>
    <n v="6.69"/>
    <n v="0.14970059880241582"/>
    <n v="33.200000000000003"/>
    <n v="32.5"/>
    <n v="2.108433734939763"/>
    <n v="3.22"/>
    <n v="3.03"/>
    <n v="5.900621118012439"/>
    <m/>
    <m/>
    <m/>
    <s v="%"/>
    <n v="4.97"/>
    <s v="Tânia"/>
    <s v="Edimar"/>
    <s v="Tânia"/>
    <x v="0"/>
    <x v="0"/>
    <x v="10"/>
  </r>
  <r>
    <x v="16"/>
    <s v="COD016"/>
    <s v="Estação 16"/>
    <s v="Ricardo"/>
    <s v="Leonardo"/>
    <d v="2019-09-18T00:00:00"/>
    <m/>
    <m/>
    <n v="27.5"/>
    <n v="27.6"/>
    <n v="0.36363636363636598"/>
    <n v="7"/>
    <m/>
    <m/>
    <m/>
    <m/>
    <m/>
    <n v="7.21"/>
    <m/>
    <m/>
    <n v="-12"/>
    <m/>
    <m/>
    <m/>
    <m/>
    <m/>
    <n v="3.0000000000000027"/>
    <s v="%"/>
    <s v="%"/>
    <n v="147"/>
    <n v="147.69999999999999"/>
    <m/>
    <m/>
    <n v="0.4761904761904745"/>
    <n v="25.29"/>
    <n v="705.5"/>
    <n v="7.6110780210788551"/>
    <n v="92.828947368421055"/>
    <n v="7.6"/>
    <n v="92.6"/>
    <n v="0.14555127471003182"/>
    <d v="2019-09-18T00:00:00"/>
    <m/>
    <n v="101"/>
    <m/>
    <n v="105.5"/>
    <m/>
    <n v="4.4554455445544594"/>
    <s v="%"/>
    <n v="2"/>
    <s v="17E 101273"/>
    <n v="2"/>
    <n v="2"/>
    <n v="2"/>
    <n v="2"/>
    <n v="2"/>
    <n v="2"/>
    <n v="1"/>
    <n v="2"/>
    <n v="2"/>
    <n v="2"/>
    <n v="2"/>
    <n v="2"/>
    <n v="2"/>
    <m/>
    <m/>
    <m/>
    <m/>
    <m/>
    <m/>
    <m/>
    <m/>
    <m/>
    <m/>
    <m/>
    <m/>
    <m/>
    <m/>
    <d v="2019-10-02T00:00:00"/>
    <m/>
    <m/>
    <m/>
    <n v="21.4"/>
    <n v="20.98"/>
    <n v="1.9626168224298968"/>
    <n v="3.87"/>
    <n v="6.1459999999999999"/>
    <n v="58.811369509043928"/>
    <n v="6.74"/>
    <n v="6.74"/>
    <n v="0"/>
    <n v="32.799999999999997"/>
    <n v="32"/>
    <n v="2.4390243902438935"/>
    <n v="3.8"/>
    <n v="3.25"/>
    <n v="14.473684210526317"/>
    <m/>
    <m/>
    <m/>
    <s v="%"/>
    <m/>
    <m/>
    <s v="Renato"/>
    <s v="Edimar"/>
    <x v="1"/>
    <x v="0"/>
    <x v="10"/>
  </r>
  <r>
    <x v="17"/>
    <s v="COD016"/>
    <s v="Estação 16"/>
    <s v="Gustavo"/>
    <s v="Ricardo"/>
    <d v="2019-10-02T00:00:00"/>
    <d v="1899-12-30T12:00:00"/>
    <m/>
    <m/>
    <m/>
    <s v="%"/>
    <m/>
    <m/>
    <m/>
    <m/>
    <m/>
    <m/>
    <m/>
    <m/>
    <m/>
    <m/>
    <m/>
    <m/>
    <m/>
    <m/>
    <m/>
    <s v="%"/>
    <s v="%"/>
    <s v="%"/>
    <m/>
    <m/>
    <m/>
    <m/>
    <s v="%"/>
    <m/>
    <m/>
    <s v=""/>
    <s v=""/>
    <m/>
    <m/>
    <s v="%"/>
    <m/>
    <m/>
    <m/>
    <m/>
    <m/>
    <m/>
    <s v="%"/>
    <s v="%"/>
    <n v="2"/>
    <m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s v="Sonda foi substituída. "/>
    <d v="2019-10-15T00:00:00"/>
    <d v="1899-12-30T15:45:00"/>
    <s v="18A 101906"/>
    <s v="18A 101902"/>
    <n v="21.84"/>
    <n v="21.9"/>
    <n v="0.27472527472527375"/>
    <n v="6.82"/>
    <n v="6.68"/>
    <n v="2.052785923753675"/>
    <n v="6.72"/>
    <n v="6.6"/>
    <n v="1.7857142857142905"/>
    <n v="32.299999999999997"/>
    <n v="31.8"/>
    <n v="1.5479876160990558"/>
    <n v="3.79"/>
    <n v="3.9"/>
    <n v="2.9023746701847042"/>
    <m/>
    <m/>
    <m/>
    <s v="%"/>
    <n v="5.68"/>
    <m/>
    <s v="Renato"/>
    <s v="Tânia"/>
    <x v="1"/>
    <x v="0"/>
    <x v="10"/>
  </r>
  <r>
    <x v="18"/>
    <s v="COD016"/>
    <s v="Estação 16"/>
    <s v="Daniel"/>
    <s v="Gustavo"/>
    <d v="2019-10-15T00:00:00"/>
    <d v="1899-12-30T15:30:00"/>
    <d v="1899-12-30T15:55:00"/>
    <n v="25.1"/>
    <n v="25.11"/>
    <n v="3.9840637450194727E-2"/>
    <n v="7"/>
    <m/>
    <m/>
    <n v="25.01"/>
    <m/>
    <m/>
    <n v="7.32"/>
    <m/>
    <m/>
    <n v="-20.2"/>
    <m/>
    <m/>
    <m/>
    <m/>
    <m/>
    <n v="4.5714285714285818"/>
    <s v="%"/>
    <s v="%"/>
    <n v="147"/>
    <n v="145"/>
    <m/>
    <n v="0.1"/>
    <n v="1.3605442176870763"/>
    <n v="23.9"/>
    <n v="712.1"/>
    <n v="7.8867329606366763"/>
    <n v="93.697368421052644"/>
    <n v="7.97"/>
    <n v="94.5"/>
    <n v="1.0557862143794727"/>
    <d v="2019-10-14T00:00:00"/>
    <m/>
    <n v="99.4"/>
    <m/>
    <n v="102.7"/>
    <m/>
    <n v="3.3199195171026208"/>
    <s v="%"/>
    <n v="2"/>
    <s v="18A 10190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s v="Trocar membrana de OD na próxima visita. Há pequenos defeitos na membrana atual, que não impedema leitura confiável."/>
    <d v="2019-10-29T00:00:00"/>
    <d v="1899-12-30T11:15:00"/>
    <s v="18A 101906"/>
    <s v="18A 101902"/>
    <n v="23.19"/>
    <n v="23.25"/>
    <n v="0.25873221216041742"/>
    <n v="6.8"/>
    <n v="6.72"/>
    <n v="1.1764705882352899"/>
    <n v="6.55"/>
    <n v="6.4"/>
    <n v="2.2900763358778553"/>
    <n v="32.200000000000003"/>
    <n v="31.7"/>
    <n v="1.5527950310559091"/>
    <n v="3.57"/>
    <n v="3.77"/>
    <n v="5.6022408963585457"/>
    <m/>
    <m/>
    <m/>
    <s v="%"/>
    <n v="5.4"/>
    <m/>
    <s v="Valter"/>
    <s v="Tânia"/>
    <x v="1"/>
    <x v="0"/>
    <x v="10"/>
  </r>
  <r>
    <x v="19"/>
    <s v="COD016"/>
    <s v="Estação 16"/>
    <s v="Lilian"/>
    <s v="Daniel"/>
    <d v="2019-10-29T00:00:00"/>
    <d v="1899-12-30T10:50:00"/>
    <d v="1899-12-30T11:25:00"/>
    <n v="26.7"/>
    <n v="26.68"/>
    <n v="7.4906367041194244E-2"/>
    <n v="4"/>
    <m/>
    <m/>
    <n v="26.9"/>
    <m/>
    <m/>
    <n v="4.2"/>
    <m/>
    <m/>
    <n v="159.30000000000001"/>
    <m/>
    <m/>
    <m/>
    <m/>
    <m/>
    <n v="5.0000000000000044"/>
    <s v="%"/>
    <s v="%"/>
    <n v="147"/>
    <n v="149.30000000000001"/>
    <m/>
    <m/>
    <n v="1.56462585034014"/>
    <n v="29.05"/>
    <n v="708.2"/>
    <n v="7.1394860110012246"/>
    <n v="93.184210526315795"/>
    <n v="7.14"/>
    <n v="94.8"/>
    <n v="7.1992437268297849E-3"/>
    <m/>
    <m/>
    <m/>
    <m/>
    <m/>
    <m/>
    <s v="%"/>
    <s v="%"/>
    <n v="2"/>
    <s v="18A 101902"/>
    <n v="2"/>
    <n v="2"/>
    <n v="1"/>
    <n v="2"/>
    <n v="2"/>
    <n v="2"/>
    <n v="2"/>
    <n v="2"/>
    <n v="2"/>
    <n v="1"/>
    <n v="2"/>
    <n v="2"/>
    <n v="2"/>
    <m/>
    <m/>
    <m/>
    <m/>
    <s v="17M100966"/>
    <s v="19D100091"/>
    <m/>
    <m/>
    <m/>
    <m/>
    <m/>
    <m/>
    <m/>
    <s v="Membrana de OD substituída, pois estava riscada."/>
    <d v="2019-11-11T00:00:00"/>
    <d v="1899-12-30T13:45:00"/>
    <s v="18A 101906"/>
    <s v="18A 101902"/>
    <n v="23.86"/>
    <n v="23.92"/>
    <n v="0.25146689019279744"/>
    <n v="6.79"/>
    <n v="6.67"/>
    <n v="1.7673048600883701"/>
    <n v="6.1"/>
    <n v="6.01"/>
    <n v="1.4754098360655665"/>
    <n v="32.200000000000003"/>
    <n v="31.7"/>
    <n v="1.5527950310559091"/>
    <n v="3.73"/>
    <n v="3.88"/>
    <n v="4.0214477211796273"/>
    <m/>
    <m/>
    <m/>
    <s v="%"/>
    <m/>
    <m/>
    <s v="Tânia"/>
    <s v="Valter"/>
    <x v="1"/>
    <x v="0"/>
    <x v="10"/>
  </r>
  <r>
    <x v="20"/>
    <s v="COD016"/>
    <s v="Estação 16"/>
    <s v="Andréia"/>
    <s v="Lilian"/>
    <d v="2019-11-11T00:00:00"/>
    <d v="1899-12-30T13:35:00"/>
    <d v="1899-12-30T14:14:00"/>
    <n v="24.9"/>
    <n v="24.6"/>
    <n v="1.2048192771084265"/>
    <n v="7"/>
    <m/>
    <m/>
    <n v="25.5"/>
    <m/>
    <m/>
    <n v="7.04"/>
    <m/>
    <m/>
    <m/>
    <m/>
    <m/>
    <m/>
    <m/>
    <m/>
    <n v="0.57142857142857828"/>
    <s v="%"/>
    <s v="%"/>
    <n v="147"/>
    <n v="144.5"/>
    <m/>
    <n v="0"/>
    <n v="1.7006802721088454"/>
    <n v="23.66"/>
    <n v="711.2"/>
    <n v="7.912216530878549"/>
    <n v="93.578947368421069"/>
    <n v="8.0399999999999991"/>
    <n v="94.9"/>
    <n v="1.6150148144044918"/>
    <d v="2019-11-11T00:00:00"/>
    <m/>
    <n v="107"/>
    <m/>
    <n v="107.4"/>
    <m/>
    <n v="0.37383177570093906"/>
    <s v="%"/>
    <n v="2"/>
    <s v="18A 101902"/>
    <n v="2"/>
    <n v="2"/>
    <n v="2"/>
    <n v="2"/>
    <n v="2"/>
    <n v="2"/>
    <n v="1"/>
    <n v="2"/>
    <n v="1"/>
    <n v="2"/>
    <n v="2"/>
    <n v="2"/>
    <n v="2"/>
    <m/>
    <m/>
    <m/>
    <m/>
    <m/>
    <m/>
    <m/>
    <m/>
    <m/>
    <m/>
    <m/>
    <m/>
    <m/>
    <m/>
    <d v="2019-12-03T00:00:00"/>
    <d v="1899-12-30T12:00:00"/>
    <s v="18A 101906"/>
    <s v="18A 101902"/>
    <n v="23.79"/>
    <n v="23.85"/>
    <n v="0.25220680958386588"/>
    <n v="6.64"/>
    <n v="6.6"/>
    <n v="0.60240963855421326"/>
    <n v="5.75"/>
    <n v="5.84"/>
    <n v="1.5652173913043521"/>
    <n v="33.4"/>
    <n v="32.6"/>
    <n v="2.39520958083832"/>
    <n v="4.49"/>
    <n v="5.51"/>
    <n v="22.717149220489972"/>
    <s v="Clorofila (ug/L)"/>
    <n v="0.56000000000000005"/>
    <n v="-0.41"/>
    <n v="173.21428571428569"/>
    <n v="5.52"/>
    <m/>
    <s v="Valter"/>
    <s v="Tânia"/>
    <x v="1"/>
    <x v="0"/>
    <x v="10"/>
  </r>
  <r>
    <x v="21"/>
    <s v="COD003"/>
    <s v="Estação 3"/>
    <s v="Tânia"/>
    <s v="Andréia"/>
    <d v="2019-12-03T00:00:00"/>
    <d v="1899-12-30T11:40:00"/>
    <d v="1899-12-30T12:15:00"/>
    <n v="22.8"/>
    <n v="22.72"/>
    <n v="0.35087719298246833"/>
    <n v="4"/>
    <m/>
    <m/>
    <n v="22.7"/>
    <m/>
    <m/>
    <n v="3.92"/>
    <m/>
    <m/>
    <n v="159.5"/>
    <m/>
    <m/>
    <m/>
    <m/>
    <m/>
    <n v="2.0000000000000018"/>
    <s v="%"/>
    <s v="%"/>
    <n v="147"/>
    <n v="150.80000000000001"/>
    <m/>
    <n v="0"/>
    <n v="2.5850340136054584"/>
    <n v="22.47"/>
    <n v="710.5"/>
    <n v="8.085638925251839"/>
    <n v="93.486842105263165"/>
    <n v="8.1199999999999992"/>
    <n v="93.6"/>
    <n v="0.42496424915599018"/>
    <d v="2019-12-03T00:00:00"/>
    <m/>
    <n v="112"/>
    <m/>
    <n v="109.9"/>
    <m/>
    <n v="1.8749999999999933"/>
    <s v="%"/>
    <n v="2"/>
    <s v="18A 101902"/>
    <n v="2"/>
    <n v="2"/>
    <n v="2"/>
    <n v="2"/>
    <n v="2"/>
    <n v="2"/>
    <n v="2"/>
    <n v="2"/>
    <n v="2"/>
    <n v="1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0"/>
    <x v="2"/>
  </r>
  <r>
    <x v="22"/>
    <s v="COD004"/>
    <s v="Estação 4"/>
    <s v="Valter"/>
    <s v="Tânia"/>
    <d v="2019-12-20T00:00:00"/>
    <d v="1899-12-30T14:00:00"/>
    <m/>
    <n v="29.6"/>
    <n v="29.3"/>
    <n v="1.0135135135135198"/>
    <n v="10"/>
    <m/>
    <m/>
    <n v="29.3"/>
    <m/>
    <m/>
    <n v="10.15"/>
    <m/>
    <m/>
    <m/>
    <m/>
    <m/>
    <m/>
    <m/>
    <m/>
    <n v="1.5000000000000124"/>
    <s v="%"/>
    <s v="%"/>
    <n v="147"/>
    <n v="147.69999999999999"/>
    <m/>
    <n v="0.7"/>
    <n v="0.4761904761904745"/>
    <n v="25.3"/>
    <n v="709.7"/>
    <n v="7.6565521550525988"/>
    <n v="93.381578947368425"/>
    <n v="7.64"/>
    <n v="93"/>
    <n v="0.21618288124213292"/>
    <d v="2019-12-20T00:00:00"/>
    <m/>
    <n v="107"/>
    <m/>
    <n v="104.7"/>
    <m/>
    <n v="2.1495327102803663"/>
    <s v="%"/>
    <n v="2"/>
    <s v="18A 101902"/>
    <n v="2"/>
    <n v="2"/>
    <n v="2"/>
    <n v="2"/>
    <n v="2"/>
    <n v="2"/>
    <n v="1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0"/>
    <x v="3"/>
  </r>
  <r>
    <x v="23"/>
    <s v="COD005"/>
    <s v="Estação 5"/>
    <s v="Leonardo"/>
    <s v="Valter"/>
    <d v="2020-01-02T00:00:00"/>
    <d v="1899-12-30T12:16:00"/>
    <m/>
    <n v="27"/>
    <n v="26.99"/>
    <n v="3.7037037037046527E-2"/>
    <n v="7"/>
    <n v="4"/>
    <n v="10"/>
    <n v="28.75"/>
    <n v="28.75"/>
    <n v="28.54"/>
    <n v="7.15"/>
    <n v="3.97"/>
    <n v="10"/>
    <m/>
    <m/>
    <m/>
    <m/>
    <m/>
    <m/>
    <n v="2.1428571428571574"/>
    <n v="0.74999999999999512"/>
    <n v="0"/>
    <n v="147"/>
    <n v="145.4"/>
    <m/>
    <m/>
    <n v="1.0884353741496544"/>
    <n v="26.5"/>
    <n v="706.7"/>
    <n v="7.4569798622996615"/>
    <n v="92.986842105263165"/>
    <n v="7.4"/>
    <n v="92.6"/>
    <n v="0.76411447196920168"/>
    <d v="2020-01-02T00:00:00"/>
    <m/>
    <n v="106"/>
    <m/>
    <n v="105.6"/>
    <m/>
    <n v="0.37735849056603765"/>
    <s v="%"/>
    <n v="2"/>
    <s v="18A 101902"/>
    <n v="2"/>
    <n v="1"/>
    <n v="2"/>
    <n v="2"/>
    <n v="2"/>
    <n v="2"/>
    <n v="2"/>
    <n v="2"/>
    <n v="1"/>
    <n v="1"/>
    <n v="2"/>
    <n v="1"/>
    <n v="2"/>
    <m/>
    <m/>
    <m/>
    <m/>
    <m/>
    <m/>
    <m/>
    <m/>
    <m/>
    <m/>
    <m/>
    <m/>
    <m/>
    <s v="Houve necessudade de substituição do módulo de pH"/>
    <d v="2020-01-16T00:00:00"/>
    <d v="1899-12-30T11:00:00"/>
    <s v="18A 101906"/>
    <s v="18A 101902"/>
    <n v="24.31"/>
    <n v="24.37"/>
    <n v="0.24681201151790511"/>
    <n v="6.5"/>
    <n v="6.61"/>
    <n v="1.6923076923077041"/>
    <n v="3.81"/>
    <n v="3.49"/>
    <n v="8.3989501312335957"/>
    <n v="36.4"/>
    <n v="35.5"/>
    <n v="2.4725274725274637"/>
    <n v="3.92"/>
    <n v="5.47"/>
    <n v="39.540816326530617"/>
    <m/>
    <m/>
    <m/>
    <s v="%"/>
    <n v="5.17"/>
    <m/>
    <s v="Tânia"/>
    <s v="Valter"/>
    <x v="2"/>
    <x v="1"/>
    <x v="4"/>
  </r>
  <r>
    <x v="24"/>
    <s v="COD006"/>
    <s v="Estação 6"/>
    <s v="Ricardo"/>
    <s v="Leonardo"/>
    <d v="2020-01-16T00:00:00"/>
    <d v="1899-12-30T10:40:00"/>
    <m/>
    <n v="26.9"/>
    <n v="26.9"/>
    <n v="0"/>
    <n v="10"/>
    <m/>
    <m/>
    <n v="27.34"/>
    <m/>
    <m/>
    <n v="10.06"/>
    <m/>
    <m/>
    <n v="190.5"/>
    <m/>
    <m/>
    <m/>
    <m/>
    <m/>
    <n v="0.60000000000000053"/>
    <s v="%"/>
    <s v="%"/>
    <n v="1410"/>
    <n v="1396"/>
    <m/>
    <n v="0.3"/>
    <n v="0.99290780141844115"/>
    <n v="28.5"/>
    <n v="710"/>
    <n v="7.2284700800189894"/>
    <n v="93.421052631578945"/>
    <n v="7.2"/>
    <n v="93.3"/>
    <n v="0.39386038406227231"/>
    <d v="2020-01-16T00:00:00"/>
    <m/>
    <n v="103"/>
    <m/>
    <n v="105"/>
    <m/>
    <n v="1.9417475728155331"/>
    <s v="%"/>
    <n v="2"/>
    <s v="18A 101902"/>
    <n v="2"/>
    <n v="2"/>
    <n v="2"/>
    <n v="2"/>
    <n v="2"/>
    <n v="2"/>
    <n v="2"/>
    <n v="2"/>
    <n v="2"/>
    <n v="1"/>
    <n v="2"/>
    <n v="2"/>
    <n v="2"/>
    <m/>
    <m/>
    <m/>
    <m/>
    <m/>
    <m/>
    <m/>
    <m/>
    <m/>
    <m/>
    <m/>
    <m/>
    <m/>
    <m/>
    <d v="2020-01-30T00:00:00"/>
    <d v="1899-12-30T11:15:00"/>
    <s v="18A 101906"/>
    <s v="18A 101902"/>
    <n v="24.66"/>
    <n v="24.72"/>
    <n v="0.24330900243307862"/>
    <n v="6.21"/>
    <n v="6.55"/>
    <n v="5.4750402576489554"/>
    <n v="2.82"/>
    <n v="2.48"/>
    <n v="12.056737588652478"/>
    <n v="38"/>
    <n v="37"/>
    <n v="2.6315789473684181"/>
    <n v="32.090000000000003"/>
    <n v="34.450000000000003"/>
    <n v="7.354315986288551"/>
    <m/>
    <m/>
    <m/>
    <s v="%"/>
    <n v="4.92"/>
    <m/>
    <s v="Tânia"/>
    <s v="Valter"/>
    <x v="2"/>
    <x v="1"/>
    <x v="11"/>
  </r>
  <r>
    <x v="25"/>
    <s v="COD007"/>
    <s v="Estação 7"/>
    <s v="Gustavo"/>
    <s v="Lilian"/>
    <d v="2020-01-30T00:00:00"/>
    <d v="1899-12-30T10:50:00"/>
    <m/>
    <n v="27.4"/>
    <n v="27.5"/>
    <n v="0.36496350364965124"/>
    <n v="10"/>
    <m/>
    <m/>
    <m/>
    <m/>
    <m/>
    <n v="10.119999999999999"/>
    <m/>
    <m/>
    <n v="-193.9"/>
    <m/>
    <m/>
    <m/>
    <m/>
    <m/>
    <n v="1.2000000000000011"/>
    <s v="%"/>
    <s v="%"/>
    <n v="1410"/>
    <n v="1389"/>
    <m/>
    <n v="0.7"/>
    <n v="1.4893617021276562"/>
    <n v="32.4"/>
    <n v="710.4"/>
    <n v="6.7587188153713242"/>
    <n v="93.473684210526315"/>
    <n v="6.74"/>
    <n v="92.7"/>
    <n v="0.27695804312426464"/>
    <d v="2020-01-30T00:00:00"/>
    <m/>
    <n v="102"/>
    <m/>
    <n v="102.2"/>
    <m/>
    <n v="0.19607843137254832"/>
    <s v="%"/>
    <n v="2"/>
    <s v="18A 10190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1"/>
    <x v="12"/>
  </r>
  <r>
    <x v="26"/>
    <s v="COD008"/>
    <s v="Estação 8"/>
    <s v="Daniel"/>
    <s v="Andréia"/>
    <d v="2019-07-03T00:00:00"/>
    <d v="1899-12-30T10:00:00"/>
    <m/>
    <n v="22.5"/>
    <n v="22.7"/>
    <n v="0.88888888888889461"/>
    <n v="7"/>
    <m/>
    <m/>
    <n v="23.1"/>
    <m/>
    <m/>
    <n v="6.99"/>
    <m/>
    <m/>
    <n v="-80.8"/>
    <m/>
    <m/>
    <n v="49"/>
    <m/>
    <m/>
    <n v="0.14285714285714457"/>
    <s v="%"/>
    <s v="%"/>
    <n v="146.9"/>
    <n v="150.69999999999999"/>
    <m/>
    <n v="0.9"/>
    <n v="2.5867937372362038"/>
    <n v="22.5"/>
    <n v="715.7"/>
    <n v="8.1418315777799517"/>
    <n v="94.171052631578959"/>
    <n v="8.16"/>
    <n v="94.3"/>
    <n v="0.22314907949745333"/>
    <d v="2019-07-02T00:00:00"/>
    <m/>
    <n v="101"/>
    <m/>
    <n v="99.2"/>
    <m/>
    <n v="1.7821782178217838"/>
    <s v="%"/>
    <n v="2"/>
    <s v="17E 101274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d v="2019-07-17T00:00:00"/>
    <m/>
    <s v="18A 101906"/>
    <s v="17E 101274"/>
    <n v="19.29"/>
    <n v="19.28"/>
    <n v="5.1840331778107984E-2"/>
    <n v="6.79"/>
    <n v="6.39"/>
    <n v="5.8910162002945521"/>
    <n v="6.27"/>
    <n v="6.3310000000000004"/>
    <n v="0.97288676236046978"/>
    <n v="94.1"/>
    <n v="93.3"/>
    <n v="0.85015940488841757"/>
    <n v="13.4"/>
    <n v="13.5"/>
    <n v="0.74626865671640896"/>
    <m/>
    <m/>
    <m/>
    <s v="%"/>
    <m/>
    <m/>
    <s v="Renato"/>
    <s v="Tânia"/>
    <x v="3"/>
    <x v="0"/>
    <x v="13"/>
  </r>
  <r>
    <x v="27"/>
    <s v="COD009"/>
    <s v="Estação 9"/>
    <s v="Lilian"/>
    <s v="Tânia"/>
    <d v="2019-07-17T00:00:00"/>
    <d v="1899-12-30T10:50:00"/>
    <m/>
    <n v="15.9"/>
    <n v="15.9"/>
    <n v="0"/>
    <n v="7"/>
    <n v="4"/>
    <n v="10"/>
    <n v="17.899999999999999"/>
    <n v="19.079999999999998"/>
    <n v="18.7"/>
    <n v="7.01"/>
    <n v="4"/>
    <n v="10"/>
    <n v="-1.26"/>
    <n v="-176.04"/>
    <n v="171.34"/>
    <n v="-58"/>
    <n v="-57"/>
    <m/>
    <n v="0.14285714285713347"/>
    <n v="0"/>
    <n v="0"/>
    <n v="146.9"/>
    <n v="145.80000000000001"/>
    <m/>
    <n v="0.3"/>
    <n v="0.74880871341047595"/>
    <n v="16.78"/>
    <n v="725.9"/>
    <n v="9.2657233895160687"/>
    <n v="95.51315789473685"/>
    <n v="9.3699999999999992"/>
    <n v="96.3"/>
    <n v="1.1254017209483713"/>
    <d v="2019-07-15T00:00:00"/>
    <m/>
    <n v="104"/>
    <m/>
    <n v="103.1"/>
    <m/>
    <n v="0.86538461538462341"/>
    <s v="%"/>
    <n v="2"/>
    <s v="17E 101274"/>
    <n v="2"/>
    <n v="1"/>
    <n v="2"/>
    <n v="2"/>
    <n v="2"/>
    <n v="2"/>
    <n v="2"/>
    <n v="2"/>
    <n v="1"/>
    <n v="2"/>
    <n v="2"/>
    <n v="2"/>
    <n v="2"/>
    <m/>
    <m/>
    <m/>
    <m/>
    <m/>
    <m/>
    <m/>
    <m/>
    <m/>
    <m/>
    <m/>
    <m/>
    <m/>
    <m/>
    <d v="2019-07-31T00:00:00"/>
    <d v="1899-12-30T10:30:00"/>
    <s v="18A 101906"/>
    <m/>
    <n v="20.41"/>
    <n v="20.399999999999999"/>
    <n v="4.8995590396871957E-2"/>
    <n v="6.64"/>
    <n v="7.28"/>
    <n v="9.6385542168674796"/>
    <n v="5.89"/>
    <n v="6.02"/>
    <n v="2.2071307300509213"/>
    <n v="92.9"/>
    <n v="91.6"/>
    <n v="1.3993541442411273"/>
    <n v="11.8"/>
    <n v="11.21"/>
    <n v="4.9999999999999929"/>
    <m/>
    <m/>
    <m/>
    <s v="%"/>
    <m/>
    <m/>
    <s v="Valter"/>
    <s v="Tânia"/>
    <x v="3"/>
    <x v="0"/>
    <x v="14"/>
  </r>
  <r>
    <x v="28"/>
    <s v="COD010"/>
    <s v="Estação 10"/>
    <s v="Andréia"/>
    <s v="Tânia"/>
    <d v="2019-07-31T00:00:00"/>
    <d v="1899-12-30T10:00:00"/>
    <m/>
    <n v="20.100000000000001"/>
    <n v="20.100000000000001"/>
    <n v="0"/>
    <n v="7"/>
    <m/>
    <m/>
    <n v="20.100000000000001"/>
    <m/>
    <m/>
    <n v="7.02"/>
    <m/>
    <m/>
    <m/>
    <m/>
    <m/>
    <m/>
    <m/>
    <m/>
    <n v="0.28571428571428914"/>
    <s v="%"/>
    <s v="%"/>
    <n v="146.69999999999999"/>
    <n v="151.4"/>
    <m/>
    <n v="2.2000000000000002"/>
    <n v="3.2038173142467707"/>
    <n v="20.7"/>
    <n v="720"/>
    <n v="8.4842613170274248"/>
    <n v="94.736842105263165"/>
    <n v="8.52"/>
    <m/>
    <n v="0.42123505673792305"/>
    <d v="2019-07-30T00:00:00"/>
    <m/>
    <n v="97.6"/>
    <m/>
    <n v="101.7"/>
    <m/>
    <n v="4.2008196721311508"/>
    <s v="%"/>
    <n v="2"/>
    <m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d v="2019-08-14T00:00:00"/>
    <d v="1899-12-30T10:30:00"/>
    <s v="18A 101906"/>
    <s v="17E 101274"/>
    <n v="21.67"/>
    <n v="21.67"/>
    <n v="0"/>
    <n v="6.73"/>
    <n v="7.34"/>
    <n v="9.0638930163447142"/>
    <n v="5.77"/>
    <n v="5.9"/>
    <n v="2.2530329289428108"/>
    <n v="78.400000000000006"/>
    <n v="77.510000000000005"/>
    <n v="1.135204081632657"/>
    <n v="17.52"/>
    <n v="16.760000000000002"/>
    <n v="4.3378995433789864"/>
    <m/>
    <m/>
    <m/>
    <s v="%"/>
    <n v="6.02"/>
    <m/>
    <s v="Valter"/>
    <s v="Tânia"/>
    <x v="3"/>
    <x v="0"/>
    <x v="15"/>
  </r>
  <r>
    <x v="29"/>
    <s v="COD011"/>
    <s v="Estação 11"/>
    <s v="Tânia"/>
    <s v="Valter"/>
    <d v="2019-08-14T00:00:00"/>
    <d v="1899-12-30T10:10:00"/>
    <d v="1899-12-30T10:50:00"/>
    <n v="18.399999999999999"/>
    <n v="18.489999999999998"/>
    <n v="0.4891304347826031"/>
    <n v="7"/>
    <n v="10"/>
    <n v="4"/>
    <n v="18.324999999999999"/>
    <n v="18.335000000000001"/>
    <n v="18.152999999999999"/>
    <n v="7.03"/>
    <n v="10.07"/>
    <n v="3.97"/>
    <n v="-8"/>
    <n v="-178.7"/>
    <n v="170.9"/>
    <m/>
    <n v="56.14"/>
    <n v="59.07"/>
    <n v="0.42857142857142261"/>
    <n v="0.70000000000001172"/>
    <n v="0.74999999999999512"/>
    <n v="147"/>
    <n v="145.6"/>
    <m/>
    <n v="0.3"/>
    <n v="0.9523809523809601"/>
    <n v="17.899999999999999"/>
    <n v="728.2"/>
    <n v="9.0816077845944037"/>
    <n v="95.81578947368422"/>
    <n v="9.14"/>
    <n v="96.4"/>
    <n v="0.64297222243676622"/>
    <d v="2019-08-12T00:00:00"/>
    <m/>
    <n v="95.5"/>
    <m/>
    <n v="90.3"/>
    <m/>
    <n v="5.4450261780104707"/>
    <s v="%"/>
    <n v="2"/>
    <s v="17E 101274"/>
    <n v="2"/>
    <n v="2"/>
    <n v="2"/>
    <n v="2"/>
    <n v="2"/>
    <n v="2"/>
    <n v="2"/>
    <n v="2"/>
    <n v="1"/>
    <n v="2"/>
    <n v="2"/>
    <n v="2"/>
    <n v="2"/>
    <m/>
    <m/>
    <m/>
    <m/>
    <m/>
    <m/>
    <m/>
    <m/>
    <m/>
    <m/>
    <m/>
    <m/>
    <m/>
    <s v="Verificar dados de pH até dia 17/07/2019. "/>
    <d v="2019-08-28T00:00:00"/>
    <d v="1899-12-30T10:05:00"/>
    <s v="18A 101906"/>
    <s v="17E 101274"/>
    <n v="20.440000000000001"/>
    <n v="20.420000000000002"/>
    <n v="9.7847358121327943E-2"/>
    <n v="6.74"/>
    <n v="6.62"/>
    <n v="1.7804154302670683"/>
    <n v="6.2"/>
    <n v="6.29"/>
    <n v="1.4516129032257963"/>
    <n v="62.6"/>
    <n v="61.9"/>
    <n v="1.1182108626198173"/>
    <n v="16.54"/>
    <n v="15.53"/>
    <n v="6.1064087061668655"/>
    <m/>
    <m/>
    <m/>
    <s v="%"/>
    <m/>
    <m/>
    <s v="Valter"/>
    <s v="Renato"/>
    <x v="0"/>
    <x v="0"/>
    <x v="5"/>
  </r>
  <r>
    <x v="30"/>
    <s v="COD012"/>
    <s v="Estação 12"/>
    <s v="Valter"/>
    <s v="Leonardo"/>
    <d v="2019-08-28T00:00:00"/>
    <d v="1899-12-30T09:54:00"/>
    <m/>
    <n v="21.4"/>
    <n v="21.411999999999999"/>
    <n v="5.6074766355140859E-2"/>
    <n v="10"/>
    <m/>
    <m/>
    <n v="21.35"/>
    <m/>
    <m/>
    <n v="10.039999999999999"/>
    <m/>
    <m/>
    <m/>
    <m/>
    <m/>
    <m/>
    <m/>
    <m/>
    <n v="0.40000000000000036"/>
    <s v="%"/>
    <s v="%"/>
    <n v="147"/>
    <n v="144.6"/>
    <m/>
    <m/>
    <n v="1.6326530612244983"/>
    <n v="20.7"/>
    <n v="725.8"/>
    <n v="8.5543440632857273"/>
    <n v="95.5"/>
    <n v="8.6"/>
    <n v="95.9"/>
    <n v="0.53371639457691078"/>
    <d v="2019-08-27T00:00:00"/>
    <m/>
    <n v="105"/>
    <n v="105"/>
    <n v="100.04"/>
    <m/>
    <n v="4.7238095238095195"/>
    <s v="%"/>
    <n v="2"/>
    <s v="17E 101274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d v="2019-09-11T00:00:00"/>
    <d v="1899-12-30T10:25:00"/>
    <s v="18A 101906"/>
    <s v="17E 101274"/>
    <n v="22.42"/>
    <n v="22.43"/>
    <n v="4.46030330062408E-2"/>
    <n v="6.72"/>
    <n v="6.66"/>
    <n v="0.89285714285713969"/>
    <n v="5.6"/>
    <n v="5.6"/>
    <n v="0"/>
    <n v="78.099999999999994"/>
    <n v="77.08"/>
    <n v="1.3060179257362359"/>
    <n v="11.28"/>
    <n v="11.75"/>
    <n v="4.1666666666666741"/>
    <m/>
    <m/>
    <m/>
    <s v="%"/>
    <n v="6.03"/>
    <s v="Comporta fechada para manutenção na escada de peixe."/>
    <s v="Tânia"/>
    <s v="Valter"/>
    <x v="0"/>
    <x v="0"/>
    <x v="6"/>
  </r>
  <r>
    <x v="31"/>
    <s v="COD013"/>
    <s v="Estação 13"/>
    <s v="Leonardo"/>
    <s v="Ricardo"/>
    <d v="2019-09-11T00:00:00"/>
    <d v="1899-12-30T10:00:00"/>
    <m/>
    <n v="28.1"/>
    <n v="28.34"/>
    <n v="0.85409252669037539"/>
    <n v="10"/>
    <m/>
    <m/>
    <n v="27.89"/>
    <m/>
    <m/>
    <n v="10.02"/>
    <m/>
    <m/>
    <m/>
    <m/>
    <m/>
    <m/>
    <m/>
    <m/>
    <n v="0.20000000000000018"/>
    <s v="%"/>
    <s v="%"/>
    <n v="147"/>
    <n v="147.1"/>
    <n v="5.13"/>
    <n v="0.2"/>
    <n v="6.8027210884347156E-2"/>
    <n v="34.18"/>
    <n v="718.7"/>
    <n v="6.6397506457588271"/>
    <n v="94.56578947368422"/>
    <n v="6.65"/>
    <n v="94.5"/>
    <n v="0.15436354146400877"/>
    <d v="2019-09-10T00:00:00"/>
    <m/>
    <n v="108"/>
    <n v="108"/>
    <n v="102.99"/>
    <m/>
    <n v="4.6388888888888928"/>
    <s v="%"/>
    <n v="2"/>
    <s v="17E 101274"/>
    <n v="2"/>
    <n v="2"/>
    <n v="2"/>
    <n v="2"/>
    <n v="2"/>
    <n v="2"/>
    <n v="2"/>
    <n v="2"/>
    <n v="2"/>
    <n v="2"/>
    <n v="1"/>
    <n v="2"/>
    <n v="2"/>
    <m/>
    <m/>
    <m/>
    <m/>
    <m/>
    <m/>
    <m/>
    <m/>
    <m/>
    <m/>
    <m/>
    <m/>
    <m/>
    <m/>
    <d v="2019-10-02T00:00:00"/>
    <m/>
    <s v="18A 101906"/>
    <s v="17E 101274"/>
    <n v="24.06"/>
    <m/>
    <s v="%"/>
    <n v="3.84"/>
    <m/>
    <s v="%"/>
    <n v="5.81"/>
    <m/>
    <s v="%"/>
    <n v="76.900000000000006"/>
    <m/>
    <s v="%"/>
    <n v="13.6"/>
    <m/>
    <s v="%"/>
    <m/>
    <m/>
    <m/>
    <s v="%"/>
    <m/>
    <s v="pH estava com o Cap e Sonda foi substituída (procedimento antigo)"/>
    <s v="Renato"/>
    <s v="Edimar"/>
    <x v="1"/>
    <x v="0"/>
    <x v="7"/>
  </r>
  <r>
    <x v="32"/>
    <s v="COD014"/>
    <s v="Estação 14"/>
    <s v="Ricardo"/>
    <s v="Gustavo"/>
    <d v="2019-10-02T00:00:00"/>
    <d v="1899-12-30T15:50:00"/>
    <m/>
    <m/>
    <m/>
    <s v="%"/>
    <m/>
    <m/>
    <m/>
    <m/>
    <m/>
    <m/>
    <m/>
    <m/>
    <m/>
    <m/>
    <m/>
    <m/>
    <m/>
    <m/>
    <m/>
    <s v="%"/>
    <s v="%"/>
    <s v="%"/>
    <m/>
    <m/>
    <m/>
    <m/>
    <s v="%"/>
    <m/>
    <m/>
    <s v=""/>
    <s v=""/>
    <m/>
    <m/>
    <s v="%"/>
    <m/>
    <m/>
    <m/>
    <m/>
    <m/>
    <m/>
    <s v="%"/>
    <s v="%"/>
    <n v="2"/>
    <s v="17E 101274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d v="2019-10-16T00:00:00"/>
    <d v="1899-12-30T10:30:00"/>
    <s v="18A 101906"/>
    <s v="17H 103743"/>
    <n v="26.39"/>
    <n v="26.49"/>
    <n v="0.37893141341416303"/>
    <n v="6.79"/>
    <n v="6.79"/>
    <n v="0"/>
    <n v="5.12"/>
    <n v="5.08"/>
    <n v="0.78125"/>
    <n v="76.8"/>
    <n v="74.099999999999994"/>
    <n v="3.515625"/>
    <n v="11.8"/>
    <n v="12.16"/>
    <n v="3.050847457627115"/>
    <m/>
    <m/>
    <m/>
    <s v="%"/>
    <n v="6.37"/>
    <s v="Há macrófitas ao redor do cesto: solicitar retirada. "/>
    <s v="Renato"/>
    <s v="Tânia"/>
    <x v="1"/>
    <x v="0"/>
    <x v="8"/>
  </r>
  <r>
    <x v="33"/>
    <s v="COD015"/>
    <s v="Estação 15"/>
    <s v="Gustavo"/>
    <s v="Daniel"/>
    <d v="2019-10-16T00:00:00"/>
    <d v="1899-12-30T10:15:00"/>
    <d v="1899-12-30T11:00:00"/>
    <n v="27.8"/>
    <n v="27.5"/>
    <n v="1.0791366906474864"/>
    <n v="7"/>
    <m/>
    <m/>
    <n v="27.6"/>
    <m/>
    <m/>
    <n v="7.28"/>
    <m/>
    <m/>
    <n v="-14.5"/>
    <m/>
    <m/>
    <m/>
    <m/>
    <m/>
    <n v="4.0000000000000036"/>
    <s v="%"/>
    <s v="%"/>
    <n v="147"/>
    <n v="147.1"/>
    <n v="0.47"/>
    <m/>
    <n v="6.8027210884347156E-2"/>
    <n v="27.5"/>
    <n v="721.2"/>
    <n v="7.479481534622157"/>
    <n v="94.894736842105274"/>
    <n v="7.54"/>
    <n v="95.6"/>
    <n v="0.80912647618296418"/>
    <d v="2019-10-14T00:00:00"/>
    <m/>
    <n v="102"/>
    <m/>
    <m/>
    <m/>
    <s v="%"/>
    <s v="%"/>
    <n v="2"/>
    <s v="17H 103743"/>
    <n v="2"/>
    <n v="2"/>
    <n v="1"/>
    <n v="2"/>
    <n v="2"/>
    <n v="2"/>
    <n v="2"/>
    <n v="2"/>
    <n v="2"/>
    <n v="1"/>
    <n v="1"/>
    <n v="2"/>
    <n v="2"/>
    <m/>
    <m/>
    <m/>
    <m/>
    <s v="17G 102429"/>
    <s v="19D 100088"/>
    <m/>
    <m/>
    <m/>
    <m/>
    <m/>
    <m/>
    <m/>
    <s v="Membrana de OD substituída."/>
    <d v="2019-10-29T00:00:00"/>
    <m/>
    <s v="18A 101906"/>
    <s v="17H 103743"/>
    <n v="26.53"/>
    <n v="26.59"/>
    <n v="0.22615906520919715"/>
    <n v="6.72"/>
    <n v="6.69"/>
    <n v="0.44642857142855874"/>
    <n v="4.79"/>
    <n v="4.41"/>
    <n v="7.9331941544885209"/>
    <n v="82.04"/>
    <n v="79.7"/>
    <n v="2.8522671867381777"/>
    <n v="15.03"/>
    <n v="15.16"/>
    <n v="0.86493679308050631"/>
    <m/>
    <m/>
    <m/>
    <s v="%"/>
    <n v="5.99"/>
    <m/>
    <s v="Valter"/>
    <s v="Tânia"/>
    <x v="1"/>
    <x v="0"/>
    <x v="9"/>
  </r>
  <r>
    <x v="34"/>
    <s v="COD016"/>
    <s v="Estação 16"/>
    <s v="Daniel"/>
    <s v="Lilian"/>
    <d v="2019-10-29T00:00:00"/>
    <d v="1899-12-30T15:15:00"/>
    <m/>
    <n v="28"/>
    <n v="27.86"/>
    <n v="0.50000000000000044"/>
    <n v="4"/>
    <m/>
    <m/>
    <n v="27.85"/>
    <m/>
    <m/>
    <n v="4.03"/>
    <m/>
    <m/>
    <n v="174.1"/>
    <m/>
    <m/>
    <m/>
    <m/>
    <m/>
    <n v="0.75000000000000622"/>
    <s v="%"/>
    <s v="%"/>
    <n v="147"/>
    <n v="147.19999999999999"/>
    <m/>
    <n v="0"/>
    <n v="0.13605442176869431"/>
    <n v="26.49"/>
    <n v="715.2"/>
    <n v="7.5514107444571561"/>
    <n v="94.105263157894754"/>
    <n v="7.56"/>
    <m/>
    <n v="0.11374372065706684"/>
    <d v="2019-10-29T00:00:00"/>
    <m/>
    <n v="100.4"/>
    <m/>
    <n v="103.7"/>
    <m/>
    <n v="3.2868525896414313"/>
    <s v="%"/>
    <n v="2"/>
    <s v="17H 103743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d v="2019-11-11T00:00:00"/>
    <m/>
    <s v="18A 101906"/>
    <s v="17H 103743"/>
    <n v="25.24"/>
    <n v="25.29"/>
    <n v="0.1980982567353351"/>
    <n v="6.8"/>
    <n v="6.83"/>
    <n v="0.44117647058823373"/>
    <n v="5.18"/>
    <n v="4.83"/>
    <n v="6.7567567567567544"/>
    <n v="80.7"/>
    <n v="80.8"/>
    <n v="0.12391573729861882"/>
    <n v="12.15"/>
    <n v="12.09"/>
    <n v="0.49382716049383157"/>
    <m/>
    <m/>
    <m/>
    <s v="%"/>
    <n v="6.23"/>
    <m/>
    <s v="Valter"/>
    <s v="Renato"/>
    <x v="1"/>
    <x v="0"/>
    <x v="10"/>
  </r>
  <r>
    <x v="35"/>
    <s v="COD017"/>
    <s v="Estação 17"/>
    <s v="Lilian"/>
    <s v="Andréia"/>
    <d v="2019-11-11T00:00:00"/>
    <d v="1899-12-30T16:15:00"/>
    <d v="1899-12-30T16:46:00"/>
    <n v="25.3"/>
    <n v="24.9"/>
    <n v="1.5810276679842028"/>
    <n v="7"/>
    <m/>
    <m/>
    <n v="24.9"/>
    <m/>
    <m/>
    <n v="7.19"/>
    <m/>
    <m/>
    <m/>
    <m/>
    <m/>
    <m/>
    <m/>
    <m/>
    <n v="2.7142857142857135"/>
    <s v="%"/>
    <s v="%"/>
    <n v="147"/>
    <n v="147.1"/>
    <m/>
    <n v="0"/>
    <n v="6.8027210884347156E-2"/>
    <n v="25"/>
    <n v="718.7"/>
    <n v="7.8001912000956901"/>
    <n v="94.56578947368422"/>
    <m/>
    <m/>
    <s v="%"/>
    <d v="2019-11-11T00:00:00"/>
    <m/>
    <n v="112"/>
    <m/>
    <n v="110.09"/>
    <m/>
    <n v="1.7053571428571446"/>
    <s v="%"/>
    <n v="2"/>
    <s v="17H 103743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d v="2019-12-03T00:00:00"/>
    <d v="1899-12-30T16:10:00"/>
    <s v="18A 101906"/>
    <s v="17H 103743"/>
    <n v="24.76"/>
    <n v="24.81"/>
    <n v="0.20193861066235552"/>
    <n v="6.56"/>
    <n v="6.69"/>
    <n v="1.9817073170731891"/>
    <n v="4.67"/>
    <n v="4.54"/>
    <n v="2.7837259100642386"/>
    <n v="77.3"/>
    <n v="76.599999999999994"/>
    <n v="0.90556274256144986"/>
    <n v="47.5"/>
    <n v="52.24"/>
    <n v="9.9789473684210641"/>
    <s v="Clorofila"/>
    <n v="2.3199999999999998"/>
    <m/>
    <s v="%"/>
    <n v="6.32"/>
    <m/>
    <s v="Valter"/>
    <s v="Tânia"/>
    <x v="1"/>
    <x v="0"/>
    <x v="16"/>
  </r>
  <r>
    <x v="36"/>
    <s v="COD018"/>
    <s v="Estação 18"/>
    <s v="Andréia"/>
    <s v="Tânia"/>
    <d v="2019-12-03T00:00:00"/>
    <d v="1899-12-30T15:50:00"/>
    <d v="1899-12-30T16:35:00"/>
    <n v="23.9"/>
    <n v="23.9"/>
    <n v="0"/>
    <n v="10"/>
    <m/>
    <m/>
    <n v="23.7"/>
    <m/>
    <m/>
    <n v="10.199999999999999"/>
    <m/>
    <m/>
    <n v="-182"/>
    <m/>
    <m/>
    <m/>
    <m/>
    <m/>
    <n v="2.0000000000000018"/>
    <s v="%"/>
    <s v="%"/>
    <n v="147"/>
    <n v="144.19999999999999"/>
    <m/>
    <n v="0.2"/>
    <n v="1.9047619047619091"/>
    <n v="21.9"/>
    <n v="717.1"/>
    <n v="8.2532221396414212"/>
    <n v="94.35526315789474"/>
    <n v="8.33"/>
    <n v="95.3"/>
    <n v="0.93027740026290218"/>
    <d v="2019-12-03T00:00:00"/>
    <m/>
    <n v="111"/>
    <m/>
    <n v="107.2"/>
    <m/>
    <n v="3.4234234234234218"/>
    <s v="%"/>
    <n v="2"/>
    <s v="17H 103743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s v="Ficha preenchida no escritório"/>
    <m/>
    <m/>
    <m/>
    <m/>
    <m/>
    <m/>
    <m/>
    <m/>
    <m/>
    <m/>
    <m/>
    <m/>
    <m/>
    <m/>
    <m/>
    <m/>
    <m/>
    <m/>
    <m/>
    <m/>
    <m/>
    <m/>
    <m/>
    <m/>
    <m/>
    <m/>
    <m/>
    <x v="1"/>
    <x v="0"/>
    <x v="17"/>
  </r>
  <r>
    <x v="37"/>
    <s v="COD019"/>
    <s v="Estação 19"/>
    <s v="Tânia"/>
    <s v="Valter"/>
    <d v="2020-02-19T00:00:00"/>
    <d v="1899-12-30T10:45:00"/>
    <m/>
    <n v="26.5"/>
    <n v="26.69"/>
    <n v="0.7169811320754782"/>
    <n v="4"/>
    <m/>
    <m/>
    <n v="26.38"/>
    <m/>
    <m/>
    <n v="3.99"/>
    <m/>
    <m/>
    <n v="162.9"/>
    <m/>
    <m/>
    <m/>
    <m/>
    <m/>
    <n v="0.24999999999999467"/>
    <s v="%"/>
    <s v="%"/>
    <n v="1410"/>
    <n v="1389.9"/>
    <m/>
    <n v="0.5"/>
    <n v="1.4255319148936074"/>
    <n v="27.47"/>
    <n v="708.9"/>
    <n v="7.3508957605725405"/>
    <n v="93.276315789473685"/>
    <n v="7.22"/>
    <n v="91.5"/>
    <n v="1.780677686583676"/>
    <d v="2020-02-19T00:00:00"/>
    <m/>
    <n v="99.5"/>
    <m/>
    <n v="106.4"/>
    <m/>
    <n v="6.9346733668341765"/>
    <s v="%"/>
    <n v="2"/>
    <s v="18A 101902"/>
    <n v="2"/>
    <n v="2"/>
    <n v="2"/>
    <n v="2"/>
    <n v="2"/>
    <n v="2"/>
    <n v="1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x v="1"/>
    <x v="18"/>
  </r>
  <r>
    <x v="38"/>
    <s v="COD017"/>
    <s v="Estação 17"/>
    <s v="Valter"/>
    <s v="Leonardo"/>
    <d v="2020-02-19T00:00:00"/>
    <d v="1899-12-30T15:00:00"/>
    <m/>
    <n v="30.5"/>
    <n v="30.9"/>
    <n v="1.3114754098360715"/>
    <n v="10"/>
    <m/>
    <m/>
    <n v="30.7"/>
    <m/>
    <m/>
    <n v="10.34"/>
    <m/>
    <m/>
    <n v="-165.9"/>
    <m/>
    <m/>
    <m/>
    <m/>
    <m/>
    <n v="3.400000000000003"/>
    <s v="%"/>
    <s v="%"/>
    <n v="1410"/>
    <n v="1409.8"/>
    <n v="5.07"/>
    <n v="0.2"/>
    <n v="1.4184397163119478E-2"/>
    <n v="29"/>
    <n v="714.3"/>
    <n v="7.2100333189290993"/>
    <n v="93.98684210526315"/>
    <n v="7.21"/>
    <n v="94.1"/>
    <n v="4.6211893378611535E-4"/>
    <d v="2020-02-19T00:00:00"/>
    <m/>
    <n v="99.5"/>
    <m/>
    <n v="99.3"/>
    <m/>
    <n v="0.20100502512563345"/>
    <s v="%"/>
    <n v="1"/>
    <s v="17E 101273"/>
    <n v="2"/>
    <n v="2"/>
    <n v="2"/>
    <n v="2"/>
    <n v="2"/>
    <n v="2"/>
    <n v="2"/>
    <n v="2"/>
    <n v="2"/>
    <n v="1"/>
    <n v="1"/>
    <n v="2"/>
    <n v="2"/>
    <m/>
    <m/>
    <m/>
    <m/>
    <m/>
    <m/>
    <m/>
    <m/>
    <m/>
    <m/>
    <m/>
    <m/>
    <m/>
    <s v="Sonda trocada, pois sensor de turbidez não aceitou calibração, mesmo após substituição do sensor por outro. Além do mais, a sonda gravou mais de um arquivo, portanto pode apresentar erro interno. "/>
    <m/>
    <m/>
    <m/>
    <m/>
    <m/>
    <m/>
    <m/>
    <m/>
    <m/>
    <m/>
    <m/>
    <m/>
    <m/>
    <m/>
    <m/>
    <m/>
    <m/>
    <m/>
    <m/>
    <m/>
    <m/>
    <m/>
    <m/>
    <m/>
    <m/>
    <m/>
    <m/>
    <x v="4"/>
    <x v="1"/>
    <x v="16"/>
  </r>
  <r>
    <x v="39"/>
    <s v="COD018"/>
    <s v="Estação 18"/>
    <s v="Leonardo"/>
    <s v="Lilian"/>
    <d v="2020-01-31T00:00:00"/>
    <d v="2020-02-19T17:39:44"/>
    <m/>
    <m/>
    <m/>
    <s v="%"/>
    <m/>
    <m/>
    <m/>
    <m/>
    <m/>
    <m/>
    <m/>
    <m/>
    <m/>
    <m/>
    <m/>
    <m/>
    <m/>
    <m/>
    <m/>
    <s v="%"/>
    <s v="%"/>
    <s v="%"/>
    <m/>
    <m/>
    <m/>
    <m/>
    <s v="%"/>
    <m/>
    <m/>
    <s v=""/>
    <s v=""/>
    <m/>
    <m/>
    <s v="%"/>
    <m/>
    <m/>
    <m/>
    <m/>
    <m/>
    <m/>
    <s v="%"/>
    <s v="%"/>
    <n v="2"/>
    <m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s v="Ficha inicial"/>
    <d v="2020-02-20T00:00:00"/>
    <d v="1899-12-30T13:30:00"/>
    <s v="18A 101906"/>
    <s v="17H 101019"/>
    <n v="25.54"/>
    <n v="25.52"/>
    <n v="7.8308535630378096E-2"/>
    <n v="6.93"/>
    <n v="6.95"/>
    <n v="0.28860028860029363"/>
    <n v="0.28999999999999998"/>
    <n v="0.12"/>
    <n v="58.62068965517242"/>
    <n v="343.9"/>
    <n v="335.9"/>
    <n v="2.3262576330328577"/>
    <n v="25.29"/>
    <n v="33.729999999999997"/>
    <n v="33.372874654013444"/>
    <m/>
    <m/>
    <m/>
    <s v="%"/>
    <n v="5.7"/>
    <s v="Cesto envolto com muito galho e lixo."/>
    <s v="Edimar"/>
    <s v="Tânia"/>
    <x v="2"/>
    <x v="1"/>
    <x v="17"/>
  </r>
  <r>
    <x v="40"/>
    <s v="COD019"/>
    <s v="Estação 19"/>
    <s v="Lilian"/>
    <s v="Andréia"/>
    <d v="2020-02-20T00:00:00"/>
    <d v="1899-12-30T13:10:00"/>
    <m/>
    <n v="28"/>
    <n v="27.71"/>
    <n v="1.0357142857142843"/>
    <n v="4"/>
    <m/>
    <m/>
    <n v="27.71"/>
    <m/>
    <m/>
    <n v="4.1399999999999997"/>
    <m/>
    <m/>
    <n v="149.5"/>
    <m/>
    <m/>
    <m/>
    <m/>
    <m/>
    <n v="3.499999999999992"/>
    <s v="%"/>
    <s v="%"/>
    <n v="1410"/>
    <n v="1448"/>
    <m/>
    <n v="0.3"/>
    <n v="2.6950354609929006"/>
    <n v="28.26"/>
    <n v="695.8"/>
    <n v="7.1081520964161262"/>
    <n v="91.55263157894737"/>
    <n v="7.29"/>
    <n v="93.4"/>
    <n v="2.5583006823328924"/>
    <d v="2020-02-19T00:00:00"/>
    <m/>
    <n v="99.5"/>
    <m/>
    <n v="107"/>
    <m/>
    <n v="7.5376884422110546"/>
    <s v="%"/>
    <n v="2"/>
    <s v="17H 101019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x v="1"/>
    <x v="18"/>
  </r>
  <r>
    <x v="41"/>
    <s v="COD006"/>
    <s v="Estação 6"/>
    <s v="Andréia"/>
    <s v="Tânia"/>
    <d v="2020-02-21T00:00:00"/>
    <d v="2020-02-21T14:43:05"/>
    <m/>
    <m/>
    <m/>
    <s v="%"/>
    <m/>
    <m/>
    <m/>
    <m/>
    <m/>
    <m/>
    <m/>
    <m/>
    <m/>
    <m/>
    <m/>
    <m/>
    <m/>
    <m/>
    <m/>
    <s v="%"/>
    <s v="%"/>
    <s v="%"/>
    <m/>
    <m/>
    <m/>
    <m/>
    <s v="%"/>
    <m/>
    <m/>
    <s v=""/>
    <s v=""/>
    <m/>
    <m/>
    <s v="%"/>
    <m/>
    <m/>
    <m/>
    <m/>
    <m/>
    <m/>
    <s v="%"/>
    <s v="%"/>
    <n v="2"/>
    <m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x v="1"/>
    <x v="11"/>
  </r>
  <r>
    <x v="42"/>
    <s v="COD013"/>
    <s v="Estação 13"/>
    <s v="Tânia"/>
    <s v="Lilian"/>
    <d v="2021-02-25T00:00:00"/>
    <d v="2021-02-25T00:49:30"/>
    <m/>
    <m/>
    <m/>
    <s v="%"/>
    <m/>
    <m/>
    <m/>
    <m/>
    <m/>
    <m/>
    <m/>
    <m/>
    <m/>
    <m/>
    <m/>
    <m/>
    <m/>
    <m/>
    <m/>
    <s v="%"/>
    <s v="%"/>
    <s v="%"/>
    <m/>
    <m/>
    <m/>
    <m/>
    <s v="%"/>
    <m/>
    <m/>
    <s v=""/>
    <s v=""/>
    <m/>
    <m/>
    <s v="%"/>
    <m/>
    <m/>
    <m/>
    <m/>
    <m/>
    <m/>
    <s v="%"/>
    <s v="%"/>
    <n v="2"/>
    <s v="NS005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x v="2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Arquivos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outline="1" outlineData="1" multipleFieldFilters="0" rowHeaderCaption="">
  <location ref="C3:E9" firstHeaderRow="0" firstDataRow="1" firstDataCol="1"/>
  <pivotFields count="108">
    <pivotField axis="axisRow" numFmtId="167" showAll="0">
      <items count="83">
        <item m="1" x="72"/>
        <item m="1" x="70"/>
        <item m="1" x="46"/>
        <item m="1" x="56"/>
        <item m="1" x="48"/>
        <item m="1" x="52"/>
        <item m="1" x="80"/>
        <item m="1" x="61"/>
        <item m="1" x="43"/>
        <item m="1" x="47"/>
        <item m="1" x="53"/>
        <item m="1" x="44"/>
        <item m="1" x="64"/>
        <item m="1" x="69"/>
        <item m="1" x="50"/>
        <item m="1" x="51"/>
        <item m="1" x="73"/>
        <item m="1" x="77"/>
        <item m="1" x="57"/>
        <item m="1" x="75"/>
        <item m="1" x="78"/>
        <item m="1" x="54"/>
        <item m="1" x="71"/>
        <item m="1" x="45"/>
        <item m="1" x="55"/>
        <item m="1" x="63"/>
        <item m="1" x="79"/>
        <item m="1" x="49"/>
        <item m="1" x="62"/>
        <item m="1" x="76"/>
        <item m="1" x="60"/>
        <item m="1" x="74"/>
        <item m="1" x="59"/>
        <item m="1" x="67"/>
        <item m="1" x="8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m="1" x="66"/>
        <item m="1" x="68"/>
        <item m="1" x="65"/>
        <item m="1" x="58"/>
        <item x="37"/>
        <item x="38"/>
        <item x="39"/>
        <item x="40"/>
        <item x="41"/>
        <item x="42"/>
        <item t="default"/>
      </items>
    </pivotField>
    <pivotField showAll="0"/>
    <pivotField showAll="0"/>
    <pivotField showAll="0"/>
    <pivotField showAll="0"/>
    <pivotField dataField="1"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9">
        <item x="2"/>
        <item x="4"/>
        <item x="3"/>
        <item x="0"/>
        <item x="1"/>
        <item m="1" x="7"/>
        <item m="1" x="8"/>
        <item m="1" x="6"/>
        <item m="1" x="5"/>
      </items>
    </pivotField>
    <pivotField showAll="0" defaultSubtotal="0">
      <items count="4">
        <item h="1" m="1" x="3"/>
        <item x="0"/>
        <item h="1" x="1"/>
        <item h="1" x="2"/>
      </items>
    </pivotField>
    <pivotField axis="axisRow" showAll="0" sortType="ascending" defaultSubtotal="0">
      <items count="27">
        <item h="1" m="1" x="25"/>
        <item h="1" x="0"/>
        <item h="1" x="1"/>
        <item h="1" x="2"/>
        <item h="1" x="3"/>
        <item x="4"/>
        <item h="1" x="11"/>
        <item h="1" x="12"/>
        <item h="1" x="13"/>
        <item h="1" x="14"/>
        <item h="1" x="15"/>
        <item h="1" x="5"/>
        <item h="1" x="6"/>
        <item h="1" x="7"/>
        <item h="1" x="8"/>
        <item h="1" x="9"/>
        <item h="1" x="10"/>
        <item h="1" x="16"/>
        <item h="1" x="17"/>
        <item h="1" x="18"/>
        <item h="1" m="1" x="22"/>
        <item h="1" m="1" x="20"/>
        <item h="1" m="1" x="24"/>
        <item h="1" m="1" x="23"/>
        <item h="1" m="1" x="26"/>
        <item h="1" m="1" x="21"/>
        <item h="1" m="1" x="19"/>
      </items>
    </pivotField>
  </pivotFields>
  <rowFields count="2">
    <field x="107"/>
    <field x="0"/>
  </rowFields>
  <rowItems count="6">
    <i>
      <x v="5"/>
    </i>
    <i r="1">
      <x v="39"/>
    </i>
    <i r="1">
      <x v="40"/>
    </i>
    <i r="1">
      <x v="41"/>
    </i>
    <i r="1">
      <x v="42"/>
    </i>
    <i r="1">
      <x v="43"/>
    </i>
  </rowItems>
  <colFields count="1">
    <field x="-2"/>
  </colFields>
  <colItems count="2">
    <i>
      <x/>
    </i>
    <i i="1">
      <x v="1"/>
    </i>
  </colItems>
  <dataFields count="2">
    <dataField name="Data de Calibração " fld="5" baseField="0" baseItem="4" numFmtId="14"/>
    <dataField name="Data de Verificação" fld="78" baseField="0" baseItem="4" numFmtId="14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00000000-0013-0000-FFFF-FFFF01000000}" sourceName="Mês">
  <pivotTables>
    <pivotTable tabId="10" name="Arquivos"/>
  </pivotTables>
  <data>
    <tabular pivotCacheId="1" showMissing="0">
      <items count="9">
        <i x="1" s="1"/>
        <i x="2" s="1" nd="1"/>
        <i x="4" s="1" nd="1"/>
        <i x="3" s="1" nd="1"/>
        <i x="0" s="1" nd="1"/>
        <i x="7" s="1" nd="1"/>
        <i x="8" s="1" nd="1"/>
        <i x="6" s="1" nd="1"/>
        <i x="5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00000000-0013-0000-FFFF-FFFF02000000}" sourceName="Ano">
  <pivotTables>
    <pivotTable tabId="10" name="Arquivos"/>
  </pivotTables>
  <data>
    <tabular pivotCacheId="1" showMissing="0">
      <items count="4">
        <i x="0" s="1"/>
        <i x="1"/>
        <i x="2" nd="1"/>
        <i x="3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ódigo_Nome" xr10:uid="{00000000-0013-0000-FFFF-FFFF03000000}" sourceName="Código+Nome">
  <pivotTables>
    <pivotTable tabId="10" name="Arquivos"/>
  </pivotTables>
  <data>
    <tabular pivotCacheId="1" showMissing="0" crossFilter="showItemsWithNoData">
      <items count="27">
        <i x="0"/>
        <i x="1"/>
        <i x="2"/>
        <i x="3"/>
        <i x="4" s="1"/>
        <i x="11" nd="1"/>
        <i x="12" nd="1"/>
        <i x="13"/>
        <i x="14"/>
        <i x="15"/>
        <i x="5"/>
        <i x="6"/>
        <i x="7"/>
        <i x="8"/>
        <i x="9"/>
        <i x="10"/>
        <i x="16"/>
        <i x="17"/>
        <i x="18" nd="1"/>
        <i x="25" nd="1"/>
        <i x="22" nd="1"/>
        <i x="20" nd="1"/>
        <i x="24" nd="1"/>
        <i x="23" nd="1"/>
        <i x="26" nd="1"/>
        <i x="21" nd="1"/>
        <i x="19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" xr10:uid="{00000000-0014-0000-FFFF-FFFF01000000}" cache="SegmentaçãodeDados_Mês" caption="Mês" style="SlicerStyleDark1" rowHeight="241300"/>
  <slicer name="Ano" xr10:uid="{00000000-0014-0000-FFFF-FFFF02000000}" cache="SegmentaçãodeDados_Ano" caption="Ano" style="SlicerStyleDark1" rowHeight="241300"/>
  <slicer name="Código+Nome" xr10:uid="{00000000-0014-0000-FFFF-FFFF03000000}" cache="SegmentaçãodeDados_Código_Nome" caption="Estações" style="SlicerStyleDark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Estações" displayName="Estações" ref="B2:C21" totalsRowShown="0" headerRowDxfId="144" dataDxfId="143">
  <autoFilter ref="B2:C21" xr:uid="{00000000-0009-0000-0100-000002000000}"/>
  <tableColumns count="2">
    <tableColumn id="1" xr3:uid="{00000000-0010-0000-0000-000001000000}" name="Código" dataDxfId="142" dataCellStyle="Normal_Listas"/>
    <tableColumn id="2" xr3:uid="{00000000-0010-0000-0000-000002000000}" name="Nome da Estação" dataDxfId="141" dataCellStyle="Normal_Listas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3" displayName="Tabela3" ref="E2:F10" totalsRowShown="0" headerRowDxfId="140" headerRowCellStyle="Normal_Listas">
  <autoFilter ref="E2:F10" xr:uid="{00000000-0009-0000-0100-000003000000}"/>
  <sortState xmlns:xlrd2="http://schemas.microsoft.com/office/spreadsheetml/2017/richdata2" ref="E3:F10">
    <sortCondition ref="F2:F10"/>
  </sortState>
  <tableColumns count="2">
    <tableColumn id="1" xr3:uid="{00000000-0010-0000-0100-000001000000}" name="Registro" dataDxfId="139" dataCellStyle="Normal_Listas"/>
    <tableColumn id="2" xr3:uid="{00000000-0010-0000-0100-000002000000}" name="Nome" dataDxfId="138" dataCellStyle="Normal_Listas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4" displayName="Tabela4" ref="H2:I50" totalsRowShown="0" headerRowDxfId="137" dataDxfId="136" headerRowCellStyle="Normal_Plan1" dataCellStyle="Normal_Plan1">
  <autoFilter ref="H2:I50" xr:uid="{00000000-0009-0000-0100-000004000000}"/>
  <tableColumns count="2">
    <tableColumn id="1" xr3:uid="{00000000-0010-0000-0200-000001000000}" name="Patrimônio" dataDxfId="135" dataCellStyle="Normal_Plan1"/>
    <tableColumn id="2" xr3:uid="{00000000-0010-0000-0200-000002000000}" name="Nº  Série" dataDxfId="134" dataCellStyle="Normal_Plan1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ela6" displayName="Tabela6" ref="K2:K4" totalsRowShown="0">
  <autoFilter ref="K2:K4" xr:uid="{00000000-0009-0000-0100-000006000000}"/>
  <tableColumns count="1">
    <tableColumn id="1" xr3:uid="{00000000-0010-0000-0300-000001000000}" name="Lista Binária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ela1" displayName="Tabela1" ref="M2:M2000" totalsRowShown="0">
  <autoFilter ref="M2:M2000" xr:uid="{00000000-0009-0000-0100-000001000000}"/>
  <tableColumns count="1">
    <tableColumn id="2" xr3:uid="{00000000-0010-0000-0400-000002000000}" name="Sensor pH"/>
  </tableColumns>
  <tableStyleInfo name="TableStyleDark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ela5" displayName="Tabela5" ref="O2:O6" totalsRowShown="0">
  <autoFilter ref="O2:O6" xr:uid="{00000000-0009-0000-0100-000005000000}"/>
  <tableColumns count="1">
    <tableColumn id="1" xr3:uid="{00000000-0010-0000-0500-000001000000}" name="Sensor OD"/>
  </tableColumns>
  <tableStyleInfo name="TableStyleDark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Q2:Q6" totalsRowShown="0">
  <autoFilter ref="Q2:Q6" xr:uid="{00000000-0009-0000-0100-000007000000}"/>
  <tableColumns count="1">
    <tableColumn id="1" xr3:uid="{00000000-0010-0000-0600-000001000000}" name="Sensor Cond/Temp"/>
  </tableColumns>
  <tableStyleInfo name="TableStyleDark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S2:S6" totalsRowShown="0">
  <autoFilter ref="S2:S6" xr:uid="{00000000-0009-0000-0100-000008000000}"/>
  <tableColumns count="1">
    <tableColumn id="1" xr3:uid="{00000000-0010-0000-0700-000001000000}" name="Sensor Turbidez"/>
  </tableColumns>
  <tableStyleInfo name="TableStyleDark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9" displayName="Tabela9" ref="U2:U6" totalsRowShown="0">
  <autoFilter ref="U2:U6" xr:uid="{00000000-0009-0000-0100-000009000000}"/>
  <tableColumns count="1">
    <tableColumn id="1" xr3:uid="{00000000-0010-0000-0800-000001000000}" name="Sensor Clorofila"/>
  </tableColumns>
  <tableStyleInfo name="TableStyleDark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ela10" displayName="Tabela10" ref="W2:W6" totalsRowShown="0">
  <autoFilter ref="W2:W6" xr:uid="{00000000-0009-0000-0100-00000A000000}"/>
  <tableColumns count="1">
    <tableColumn id="1" xr3:uid="{00000000-0010-0000-0900-000001000000}" name="Limpador Central"/>
  </tableColumns>
  <tableStyleInfo name="TableStyleDark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Registros" displayName="Registros" ref="A2:DD46" totalsRowShown="0" headerRowDxfId="133" dataDxfId="132">
  <autoFilter ref="A2:DD46" xr:uid="{00000000-0009-0000-0100-00000C000000}"/>
  <tableColumns count="108">
    <tableColumn id="1" xr3:uid="{00000000-0010-0000-0A00-000001000000}" name="Arquivo " dataDxfId="131"/>
    <tableColumn id="2" xr3:uid="{00000000-0010-0000-0A00-000002000000}" name="Código da Estação " dataDxfId="130"/>
    <tableColumn id="3" xr3:uid="{00000000-0010-0000-0A00-000003000000}" name="Nome da Estação" dataDxfId="129"/>
    <tableColumn id="4" xr3:uid="{00000000-0010-0000-0A00-000004000000}" name="Técnico1" dataDxfId="128"/>
    <tableColumn id="5" xr3:uid="{00000000-0010-0000-0A00-000005000000}" name="Técnico2" dataDxfId="127"/>
    <tableColumn id="6" xr3:uid="{00000000-0010-0000-0A00-000006000000}" name="DataCalibração" dataDxfId="126"/>
    <tableColumn id="7" xr3:uid="{00000000-0010-0000-0A00-000007000000}" name="Hora de Chegada" dataDxfId="125"/>
    <tableColumn id="8" xr3:uid="{00000000-0010-0000-0A00-000008000000}" name="HoraCalibração" dataDxfId="124"/>
    <tableColumn id="9" xr3:uid="{00000000-0010-0000-0A00-000009000000}" name="TempRef2" dataDxfId="123"/>
    <tableColumn id="10" xr3:uid="{00000000-0010-0000-0A00-00000A000000}" name="TempEst2" dataDxfId="122"/>
    <tableColumn id="11" xr3:uid="{00000000-0010-0000-0A00-00000B000000}" name="TempDesvio2" dataDxfId="121"/>
    <tableColumn id="12" xr3:uid="{00000000-0010-0000-0A00-00000C000000}" name="pHRef2" dataDxfId="120"/>
    <tableColumn id="13" xr3:uid="{00000000-0010-0000-0A00-00000D000000}" name="pHRef3" dataDxfId="119"/>
    <tableColumn id="14" xr3:uid="{00000000-0010-0000-0A00-00000E000000}" name="pHRef4" dataDxfId="118"/>
    <tableColumn id="15" xr3:uid="{00000000-0010-0000-0A00-00000F000000}" name="pHTemp2" dataDxfId="117"/>
    <tableColumn id="16" xr3:uid="{00000000-0010-0000-0A00-000010000000}" name="pHTemp3" dataDxfId="116"/>
    <tableColumn id="17" xr3:uid="{00000000-0010-0000-0A00-000011000000}" name="pHTemp4" dataDxfId="115"/>
    <tableColumn id="18" xr3:uid="{00000000-0010-0000-0A00-000012000000}" name="pHEst2" dataDxfId="114"/>
    <tableColumn id="19" xr3:uid="{00000000-0010-0000-0A00-000013000000}" name="pHEst3" dataDxfId="113"/>
    <tableColumn id="20" xr3:uid="{00000000-0010-0000-0A00-000014000000}" name="pHEst4" dataDxfId="112"/>
    <tableColumn id="21" xr3:uid="{00000000-0010-0000-0A00-000015000000}" name="pHmV2" dataDxfId="111"/>
    <tableColumn id="22" xr3:uid="{00000000-0010-0000-0A00-000016000000}" name="pHmV3" dataDxfId="110"/>
    <tableColumn id="23" xr3:uid="{00000000-0010-0000-0A00-000017000000}" name="pHmV4" dataDxfId="109"/>
    <tableColumn id="24" xr3:uid="{00000000-0010-0000-0A00-000018000000}" name="pHSlope2" dataDxfId="108"/>
    <tableColumn id="25" xr3:uid="{00000000-0010-0000-0A00-000019000000}" name="pHSlope3" dataDxfId="107"/>
    <tableColumn id="26" xr3:uid="{00000000-0010-0000-0A00-00001A000000}" name="pHSlope4" dataDxfId="106"/>
    <tableColumn id="27" xr3:uid="{00000000-0010-0000-0A00-00001B000000}" name="pHDesvio2" dataDxfId="105"/>
    <tableColumn id="28" xr3:uid="{00000000-0010-0000-0A00-00001C000000}" name="pHDesvio3" dataDxfId="104"/>
    <tableColumn id="29" xr3:uid="{00000000-0010-0000-0A00-00001D000000}" name="pHDesvio4" dataDxfId="103"/>
    <tableColumn id="30" xr3:uid="{00000000-0010-0000-0A00-00001E000000}" name="CondRef2" dataDxfId="102"/>
    <tableColumn id="31" xr3:uid="{00000000-0010-0000-0A00-00001F000000}" name="CondEst2" dataDxfId="101"/>
    <tableColumn id="32" xr3:uid="{00000000-0010-0000-0A00-000020000000}" name="ConstanteK" dataDxfId="100"/>
    <tableColumn id="33" xr3:uid="{00000000-0010-0000-0A00-000021000000}" name="LeituraAr" dataDxfId="99"/>
    <tableColumn id="34" xr3:uid="{00000000-0010-0000-0A00-000022000000}" name="CondDesvio2" dataDxfId="98"/>
    <tableColumn id="35" xr3:uid="{00000000-0010-0000-0A00-000023000000}" name="ODTemp" dataDxfId="97"/>
    <tableColumn id="36" xr3:uid="{00000000-0010-0000-0A00-000024000000}" name="ODPressao" dataDxfId="96"/>
    <tableColumn id="37" xr3:uid="{00000000-0010-0000-0A00-000025000000}" name="ODRefmg" dataDxfId="95"/>
    <tableColumn id="38" xr3:uid="{00000000-0010-0000-0A00-000026000000}" name="ODRef%" dataDxfId="94"/>
    <tableColumn id="39" xr3:uid="{00000000-0010-0000-0A00-000027000000}" name="ODEstmg" dataDxfId="93"/>
    <tableColumn id="40" xr3:uid="{00000000-0010-0000-0A00-000028000000}" name="ODEst%" dataDxfId="92"/>
    <tableColumn id="41" xr3:uid="{00000000-0010-0000-0A00-000029000000}" name="ODDesvio2" dataDxfId="91"/>
    <tableColumn id="42" xr3:uid="{00000000-0010-0000-0A00-00002A000000}" name="DataTurb1" dataDxfId="90"/>
    <tableColumn id="43" xr3:uid="{00000000-0010-0000-0A00-00002B000000}" name="DataTurb2" dataDxfId="89"/>
    <tableColumn id="44" xr3:uid="{00000000-0010-0000-0A00-00002C000000}" name="TurbRef2" dataDxfId="88"/>
    <tableColumn id="45" xr3:uid="{00000000-0010-0000-0A00-00002D000000}" name="TurbRef3" dataDxfId="87"/>
    <tableColumn id="46" xr3:uid="{00000000-0010-0000-0A00-00002E000000}" name="TurbEst2" dataDxfId="86"/>
    <tableColumn id="47" xr3:uid="{00000000-0010-0000-0A00-00002F000000}" name="TurbEst3" dataDxfId="85"/>
    <tableColumn id="48" xr3:uid="{00000000-0010-0000-0A00-000030000000}" name="TurbDesvio2" dataDxfId="84"/>
    <tableColumn id="49" xr3:uid="{00000000-0010-0000-0A00-000031000000}" name="TurbDesvio3" dataDxfId="83"/>
    <tableColumn id="50" xr3:uid="{00000000-0010-0000-0A00-000032000000}" name="SondaSubstituida" dataDxfId="82"/>
    <tableColumn id="51" xr3:uid="{00000000-0010-0000-0A00-000033000000}" name="SérieSondaInstalada" dataDxfId="81"/>
    <tableColumn id="52" xr3:uid="{00000000-0010-0000-0A00-000034000000}" name="TempSubstituido" dataDxfId="80"/>
    <tableColumn id="53" xr3:uid="{00000000-0010-0000-0A00-000035000000}" name="pHSubstuido" dataDxfId="79"/>
    <tableColumn id="54" xr3:uid="{00000000-0010-0000-0A00-000036000000}" name="ODSubstuido" dataDxfId="78"/>
    <tableColumn id="55" xr3:uid="{00000000-0010-0000-0A00-000037000000}" name="CondSubstuido" dataDxfId="77"/>
    <tableColumn id="56" xr3:uid="{00000000-0010-0000-0A00-000038000000}" name="TurbSubstuido" dataDxfId="76"/>
    <tableColumn id="57" xr3:uid="{00000000-0010-0000-0A00-000039000000}" name="OutroSubstuido" dataDxfId="75"/>
    <tableColumn id="58" xr3:uid="{00000000-0010-0000-0A00-00003A000000}" name="BateriaSubstuido" dataDxfId="74"/>
    <tableColumn id="59" xr3:uid="{00000000-0010-0000-0A00-00003B000000}" name="TempCalibrado" dataDxfId="73"/>
    <tableColumn id="60" xr3:uid="{00000000-0010-0000-0A00-00003C000000}" name="pHCalibrado" dataDxfId="72"/>
    <tableColumn id="61" xr3:uid="{00000000-0010-0000-0A00-00003D000000}" name="ODCalibrado" dataDxfId="71"/>
    <tableColumn id="62" xr3:uid="{00000000-0010-0000-0A00-00003E000000}" name="CondCalibrado" dataDxfId="70"/>
    <tableColumn id="63" xr3:uid="{00000000-0010-0000-0A00-00003F000000}" name="TurbCalibrado" dataDxfId="69"/>
    <tableColumn id="64" xr3:uid="{00000000-0010-0000-0A00-000040000000}" name="OutroCalibrado" dataDxfId="68"/>
    <tableColumn id="65" xr3:uid="{00000000-0010-0000-0A00-000041000000}" name="TempRetir" dataDxfId="67"/>
    <tableColumn id="66" xr3:uid="{00000000-0010-0000-0A00-000042000000}" name="TempInst" dataDxfId="66"/>
    <tableColumn id="67" xr3:uid="{00000000-0010-0000-0A00-000043000000}" name="pHRetir" dataDxfId="65"/>
    <tableColumn id="68" xr3:uid="{00000000-0010-0000-0A00-000044000000}" name="pHInst" dataDxfId="64"/>
    <tableColumn id="69" xr3:uid="{00000000-0010-0000-0A00-000045000000}" name="ODRetir" dataDxfId="63"/>
    <tableColumn id="70" xr3:uid="{00000000-0010-0000-0A00-000046000000}" name="ODInst" dataDxfId="62"/>
    <tableColumn id="71" xr3:uid="{00000000-0010-0000-0A00-000047000000}" name="CondRetir" dataDxfId="61"/>
    <tableColumn id="72" xr3:uid="{00000000-0010-0000-0A00-000048000000}" name="CondInst" dataDxfId="60"/>
    <tableColumn id="73" xr3:uid="{00000000-0010-0000-0A00-000049000000}" name="TurbRetir" dataDxfId="59"/>
    <tableColumn id="74" xr3:uid="{00000000-0010-0000-0A00-00004A000000}" name="TurbInst" dataDxfId="58"/>
    <tableColumn id="75" xr3:uid="{00000000-0010-0000-0A00-00004B000000}" name="OutroSensor1" dataDxfId="57"/>
    <tableColumn id="76" xr3:uid="{00000000-0010-0000-0A00-00004C000000}" name="OutroRetir" dataDxfId="56"/>
    <tableColumn id="77" xr3:uid="{00000000-0010-0000-0A00-00004D000000}" name="OutroInst" dataDxfId="55"/>
    <tableColumn id="78" xr3:uid="{00000000-0010-0000-0A00-00004E000000}" name="Comentario2" dataDxfId="54"/>
    <tableColumn id="79" xr3:uid="{00000000-0010-0000-0A00-00004F000000}" name="DataVerificação" dataDxfId="53"/>
    <tableColumn id="80" xr3:uid="{00000000-0010-0000-0A00-000050000000}" name="Hora de Verificação" dataDxfId="52"/>
    <tableColumn id="81" xr3:uid="{00000000-0010-0000-0A00-000051000000}" name="SérieSondaRef" dataDxfId="51"/>
    <tableColumn id="82" xr3:uid="{00000000-0010-0000-0A00-000052000000}" name="SérieSondaEst" dataDxfId="50"/>
    <tableColumn id="83" xr3:uid="{00000000-0010-0000-0A00-000053000000}" name="TempRef" dataDxfId="49"/>
    <tableColumn id="84" xr3:uid="{00000000-0010-0000-0A00-000054000000}" name="TempEst" dataDxfId="48"/>
    <tableColumn id="85" xr3:uid="{00000000-0010-0000-0A00-000055000000}" name="TempDesvio" dataDxfId="47"/>
    <tableColumn id="86" xr3:uid="{00000000-0010-0000-0A00-000056000000}" name="pHRef" dataDxfId="46"/>
    <tableColumn id="87" xr3:uid="{00000000-0010-0000-0A00-000057000000}" name="pHEst" dataDxfId="45"/>
    <tableColumn id="88" xr3:uid="{00000000-0010-0000-0A00-000058000000}" name="pHDesvio" dataDxfId="44"/>
    <tableColumn id="89" xr3:uid="{00000000-0010-0000-0A00-000059000000}" name="ODRef" dataDxfId="43"/>
    <tableColumn id="90" xr3:uid="{00000000-0010-0000-0A00-00005A000000}" name="ODEst" dataDxfId="42"/>
    <tableColumn id="91" xr3:uid="{00000000-0010-0000-0A00-00005B000000}" name="ODDesvio" dataDxfId="41"/>
    <tableColumn id="92" xr3:uid="{00000000-0010-0000-0A00-00005C000000}" name="CondRef" dataDxfId="40"/>
    <tableColumn id="93" xr3:uid="{00000000-0010-0000-0A00-00005D000000}" name="CondEst" dataDxfId="39"/>
    <tableColumn id="94" xr3:uid="{00000000-0010-0000-0A00-00005E000000}" name="CondDesvio" dataDxfId="38"/>
    <tableColumn id="95" xr3:uid="{00000000-0010-0000-0A00-00005F000000}" name="TurbRef" dataDxfId="37"/>
    <tableColumn id="96" xr3:uid="{00000000-0010-0000-0A00-000060000000}" name="TurbEst" dataDxfId="36"/>
    <tableColumn id="97" xr3:uid="{00000000-0010-0000-0A00-000061000000}" name="TurbDesvio" dataDxfId="35"/>
    <tableColumn id="98" xr3:uid="{00000000-0010-0000-0A00-000062000000}" name="OutroSensor" dataDxfId="34"/>
    <tableColumn id="99" xr3:uid="{00000000-0010-0000-0A00-000063000000}" name="OutroRef" dataDxfId="33"/>
    <tableColumn id="100" xr3:uid="{00000000-0010-0000-0A00-000064000000}" name="OutroEst" dataDxfId="32"/>
    <tableColumn id="101" xr3:uid="{00000000-0010-0000-0A00-000065000000}" name="OutroDesvio" dataDxfId="31"/>
    <tableColumn id="102" xr3:uid="{00000000-0010-0000-0A00-000066000000}" name="BateriaSondaEst" dataDxfId="30"/>
    <tableColumn id="103" xr3:uid="{00000000-0010-0000-0A00-000067000000}" name="Comentario1" dataDxfId="29"/>
    <tableColumn id="104" xr3:uid="{00000000-0010-0000-0A00-000068000000}" name="Técnico" dataDxfId="28"/>
    <tableColumn id="105" xr3:uid="{00000000-0010-0000-0A00-000069000000}" name="Técnico3" dataDxfId="27"/>
    <tableColumn id="106" xr3:uid="{00000000-0010-0000-0A00-00006A000000}" name="Mês" dataDxfId="26">
      <calculatedColumnFormula>IF(MONTH(F3)=1,"Janeiro",IF(MONTH(F3)=2,"Fevereiro",IF(MONTH(F3)=3,"Março",IF(MONTH(F3)=4,"Abril",IF(MONTH(F3)=5,"Maio",IF(MONTH(F3)=6,"Junho",IF(MONTH(F3)=7,"Julho",IF(MONTH(F3)=8,"Agosto",IF(MONTH(F3=9),"Setembro",IF(MONTH(F3=10),"Outubro",IF(MONTH(F3=11),"Novembro","Dezembro")))))))))))</calculatedColumnFormula>
    </tableColumn>
    <tableColumn id="107" xr3:uid="{00000000-0010-0000-0A00-00006B000000}" name="Ano" dataDxfId="25">
      <calculatedColumnFormula>YEAR(F3)</calculatedColumnFormula>
    </tableColumn>
    <tableColumn id="108" xr3:uid="{00000000-0010-0000-0A00-00006C000000}" name="Código+Nome" dataDxfId="24">
      <calculatedColumnFormula>B3&amp;" "&amp;C3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59.xml"/><Relationship Id="rId21" Type="http://schemas.openxmlformats.org/officeDocument/2006/relationships/ctrlProp" Target="../ctrlProps/ctrlProp63.xml"/><Relationship Id="rId42" Type="http://schemas.openxmlformats.org/officeDocument/2006/relationships/ctrlProp" Target="../ctrlProps/ctrlProp84.xml"/><Relationship Id="rId63" Type="http://schemas.openxmlformats.org/officeDocument/2006/relationships/ctrlProp" Target="../ctrlProps/ctrlProp105.xml"/><Relationship Id="rId84" Type="http://schemas.openxmlformats.org/officeDocument/2006/relationships/ctrlProp" Target="../ctrlProps/ctrlProp126.xml"/><Relationship Id="rId138" Type="http://schemas.openxmlformats.org/officeDocument/2006/relationships/ctrlProp" Target="../ctrlProps/ctrlProp180.xml"/><Relationship Id="rId159" Type="http://schemas.openxmlformats.org/officeDocument/2006/relationships/ctrlProp" Target="../ctrlProps/ctrlProp201.xml"/><Relationship Id="rId170" Type="http://schemas.openxmlformats.org/officeDocument/2006/relationships/ctrlProp" Target="../ctrlProps/ctrlProp212.xml"/><Relationship Id="rId107" Type="http://schemas.openxmlformats.org/officeDocument/2006/relationships/ctrlProp" Target="../ctrlProps/ctrlProp149.xml"/><Relationship Id="rId11" Type="http://schemas.openxmlformats.org/officeDocument/2006/relationships/ctrlProp" Target="../ctrlProps/ctrlProp53.xml"/><Relationship Id="rId32" Type="http://schemas.openxmlformats.org/officeDocument/2006/relationships/ctrlProp" Target="../ctrlProps/ctrlProp74.xml"/><Relationship Id="rId53" Type="http://schemas.openxmlformats.org/officeDocument/2006/relationships/ctrlProp" Target="../ctrlProps/ctrlProp95.xml"/><Relationship Id="rId74" Type="http://schemas.openxmlformats.org/officeDocument/2006/relationships/ctrlProp" Target="../ctrlProps/ctrlProp116.xml"/><Relationship Id="rId128" Type="http://schemas.openxmlformats.org/officeDocument/2006/relationships/ctrlProp" Target="../ctrlProps/ctrlProp170.xml"/><Relationship Id="rId149" Type="http://schemas.openxmlformats.org/officeDocument/2006/relationships/ctrlProp" Target="../ctrlProps/ctrlProp191.xml"/><Relationship Id="rId5" Type="http://schemas.openxmlformats.org/officeDocument/2006/relationships/ctrlProp" Target="../ctrlProps/ctrlProp47.xml"/><Relationship Id="rId95" Type="http://schemas.openxmlformats.org/officeDocument/2006/relationships/ctrlProp" Target="../ctrlProps/ctrlProp137.xml"/><Relationship Id="rId160" Type="http://schemas.openxmlformats.org/officeDocument/2006/relationships/ctrlProp" Target="../ctrlProps/ctrlProp202.xml"/><Relationship Id="rId181" Type="http://schemas.openxmlformats.org/officeDocument/2006/relationships/table" Target="../tables/table11.xml"/><Relationship Id="rId22" Type="http://schemas.openxmlformats.org/officeDocument/2006/relationships/ctrlProp" Target="../ctrlProps/ctrlProp64.xml"/><Relationship Id="rId43" Type="http://schemas.openxmlformats.org/officeDocument/2006/relationships/ctrlProp" Target="../ctrlProps/ctrlProp85.xml"/><Relationship Id="rId64" Type="http://schemas.openxmlformats.org/officeDocument/2006/relationships/ctrlProp" Target="../ctrlProps/ctrlProp106.xml"/><Relationship Id="rId118" Type="http://schemas.openxmlformats.org/officeDocument/2006/relationships/ctrlProp" Target="../ctrlProps/ctrlProp160.xml"/><Relationship Id="rId139" Type="http://schemas.openxmlformats.org/officeDocument/2006/relationships/ctrlProp" Target="../ctrlProps/ctrlProp181.xml"/><Relationship Id="rId85" Type="http://schemas.openxmlformats.org/officeDocument/2006/relationships/ctrlProp" Target="../ctrlProps/ctrlProp127.xml"/><Relationship Id="rId150" Type="http://schemas.openxmlformats.org/officeDocument/2006/relationships/ctrlProp" Target="../ctrlProps/ctrlProp192.xml"/><Relationship Id="rId171" Type="http://schemas.openxmlformats.org/officeDocument/2006/relationships/ctrlProp" Target="../ctrlProps/ctrlProp213.xml"/><Relationship Id="rId12" Type="http://schemas.openxmlformats.org/officeDocument/2006/relationships/ctrlProp" Target="../ctrlProps/ctrlProp54.xml"/><Relationship Id="rId33" Type="http://schemas.openxmlformats.org/officeDocument/2006/relationships/ctrlProp" Target="../ctrlProps/ctrlProp75.xml"/><Relationship Id="rId108" Type="http://schemas.openxmlformats.org/officeDocument/2006/relationships/ctrlProp" Target="../ctrlProps/ctrlProp150.xml"/><Relationship Id="rId129" Type="http://schemas.openxmlformats.org/officeDocument/2006/relationships/ctrlProp" Target="../ctrlProps/ctrlProp171.xml"/><Relationship Id="rId54" Type="http://schemas.openxmlformats.org/officeDocument/2006/relationships/ctrlProp" Target="../ctrlProps/ctrlProp96.xml"/><Relationship Id="rId75" Type="http://schemas.openxmlformats.org/officeDocument/2006/relationships/ctrlProp" Target="../ctrlProps/ctrlProp117.xml"/><Relationship Id="rId96" Type="http://schemas.openxmlformats.org/officeDocument/2006/relationships/ctrlProp" Target="../ctrlProps/ctrlProp138.xml"/><Relationship Id="rId140" Type="http://schemas.openxmlformats.org/officeDocument/2006/relationships/ctrlProp" Target="../ctrlProps/ctrlProp182.xml"/><Relationship Id="rId161" Type="http://schemas.openxmlformats.org/officeDocument/2006/relationships/ctrlProp" Target="../ctrlProps/ctrlProp203.xml"/><Relationship Id="rId182" Type="http://schemas.openxmlformats.org/officeDocument/2006/relationships/comments" Target="../comments1.xml"/><Relationship Id="rId6" Type="http://schemas.openxmlformats.org/officeDocument/2006/relationships/ctrlProp" Target="../ctrlProps/ctrlProp48.xml"/><Relationship Id="rId23" Type="http://schemas.openxmlformats.org/officeDocument/2006/relationships/ctrlProp" Target="../ctrlProps/ctrlProp65.xml"/><Relationship Id="rId119" Type="http://schemas.openxmlformats.org/officeDocument/2006/relationships/ctrlProp" Target="../ctrlProps/ctrlProp161.xml"/><Relationship Id="rId44" Type="http://schemas.openxmlformats.org/officeDocument/2006/relationships/ctrlProp" Target="../ctrlProps/ctrlProp86.xml"/><Relationship Id="rId60" Type="http://schemas.openxmlformats.org/officeDocument/2006/relationships/ctrlProp" Target="../ctrlProps/ctrlProp102.xml"/><Relationship Id="rId65" Type="http://schemas.openxmlformats.org/officeDocument/2006/relationships/ctrlProp" Target="../ctrlProps/ctrlProp107.xml"/><Relationship Id="rId81" Type="http://schemas.openxmlformats.org/officeDocument/2006/relationships/ctrlProp" Target="../ctrlProps/ctrlProp123.xml"/><Relationship Id="rId86" Type="http://schemas.openxmlformats.org/officeDocument/2006/relationships/ctrlProp" Target="../ctrlProps/ctrlProp128.xml"/><Relationship Id="rId130" Type="http://schemas.openxmlformats.org/officeDocument/2006/relationships/ctrlProp" Target="../ctrlProps/ctrlProp172.xml"/><Relationship Id="rId135" Type="http://schemas.openxmlformats.org/officeDocument/2006/relationships/ctrlProp" Target="../ctrlProps/ctrlProp177.xml"/><Relationship Id="rId151" Type="http://schemas.openxmlformats.org/officeDocument/2006/relationships/ctrlProp" Target="../ctrlProps/ctrlProp193.xml"/><Relationship Id="rId156" Type="http://schemas.openxmlformats.org/officeDocument/2006/relationships/ctrlProp" Target="../ctrlProps/ctrlProp198.xml"/><Relationship Id="rId177" Type="http://schemas.openxmlformats.org/officeDocument/2006/relationships/ctrlProp" Target="../ctrlProps/ctrlProp219.xml"/><Relationship Id="rId172" Type="http://schemas.openxmlformats.org/officeDocument/2006/relationships/ctrlProp" Target="../ctrlProps/ctrlProp214.xml"/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39" Type="http://schemas.openxmlformats.org/officeDocument/2006/relationships/ctrlProp" Target="../ctrlProps/ctrlProp81.xml"/><Relationship Id="rId109" Type="http://schemas.openxmlformats.org/officeDocument/2006/relationships/ctrlProp" Target="../ctrlProps/ctrlProp151.xml"/><Relationship Id="rId34" Type="http://schemas.openxmlformats.org/officeDocument/2006/relationships/ctrlProp" Target="../ctrlProps/ctrlProp76.xml"/><Relationship Id="rId50" Type="http://schemas.openxmlformats.org/officeDocument/2006/relationships/ctrlProp" Target="../ctrlProps/ctrlProp92.xml"/><Relationship Id="rId55" Type="http://schemas.openxmlformats.org/officeDocument/2006/relationships/ctrlProp" Target="../ctrlProps/ctrlProp97.xml"/><Relationship Id="rId76" Type="http://schemas.openxmlformats.org/officeDocument/2006/relationships/ctrlProp" Target="../ctrlProps/ctrlProp118.xml"/><Relationship Id="rId97" Type="http://schemas.openxmlformats.org/officeDocument/2006/relationships/ctrlProp" Target="../ctrlProps/ctrlProp139.xml"/><Relationship Id="rId104" Type="http://schemas.openxmlformats.org/officeDocument/2006/relationships/ctrlProp" Target="../ctrlProps/ctrlProp146.xml"/><Relationship Id="rId120" Type="http://schemas.openxmlformats.org/officeDocument/2006/relationships/ctrlProp" Target="../ctrlProps/ctrlProp162.xml"/><Relationship Id="rId125" Type="http://schemas.openxmlformats.org/officeDocument/2006/relationships/ctrlProp" Target="../ctrlProps/ctrlProp167.xml"/><Relationship Id="rId141" Type="http://schemas.openxmlformats.org/officeDocument/2006/relationships/ctrlProp" Target="../ctrlProps/ctrlProp183.xml"/><Relationship Id="rId146" Type="http://schemas.openxmlformats.org/officeDocument/2006/relationships/ctrlProp" Target="../ctrlProps/ctrlProp188.xml"/><Relationship Id="rId167" Type="http://schemas.openxmlformats.org/officeDocument/2006/relationships/ctrlProp" Target="../ctrlProps/ctrlProp209.xml"/><Relationship Id="rId7" Type="http://schemas.openxmlformats.org/officeDocument/2006/relationships/ctrlProp" Target="../ctrlProps/ctrlProp49.xml"/><Relationship Id="rId71" Type="http://schemas.openxmlformats.org/officeDocument/2006/relationships/ctrlProp" Target="../ctrlProps/ctrlProp113.xml"/><Relationship Id="rId92" Type="http://schemas.openxmlformats.org/officeDocument/2006/relationships/ctrlProp" Target="../ctrlProps/ctrlProp134.xml"/><Relationship Id="rId162" Type="http://schemas.openxmlformats.org/officeDocument/2006/relationships/ctrlProp" Target="../ctrlProps/ctrlProp204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71.xml"/><Relationship Id="rId24" Type="http://schemas.openxmlformats.org/officeDocument/2006/relationships/ctrlProp" Target="../ctrlProps/ctrlProp66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66" Type="http://schemas.openxmlformats.org/officeDocument/2006/relationships/ctrlProp" Target="../ctrlProps/ctrlProp108.xml"/><Relationship Id="rId87" Type="http://schemas.openxmlformats.org/officeDocument/2006/relationships/ctrlProp" Target="../ctrlProps/ctrlProp129.xml"/><Relationship Id="rId110" Type="http://schemas.openxmlformats.org/officeDocument/2006/relationships/ctrlProp" Target="../ctrlProps/ctrlProp152.xml"/><Relationship Id="rId115" Type="http://schemas.openxmlformats.org/officeDocument/2006/relationships/ctrlProp" Target="../ctrlProps/ctrlProp157.xml"/><Relationship Id="rId131" Type="http://schemas.openxmlformats.org/officeDocument/2006/relationships/ctrlProp" Target="../ctrlProps/ctrlProp173.xml"/><Relationship Id="rId136" Type="http://schemas.openxmlformats.org/officeDocument/2006/relationships/ctrlProp" Target="../ctrlProps/ctrlProp178.xml"/><Relationship Id="rId157" Type="http://schemas.openxmlformats.org/officeDocument/2006/relationships/ctrlProp" Target="../ctrlProps/ctrlProp199.xml"/><Relationship Id="rId178" Type="http://schemas.openxmlformats.org/officeDocument/2006/relationships/ctrlProp" Target="../ctrlProps/ctrlProp220.xml"/><Relationship Id="rId61" Type="http://schemas.openxmlformats.org/officeDocument/2006/relationships/ctrlProp" Target="../ctrlProps/ctrlProp103.xml"/><Relationship Id="rId82" Type="http://schemas.openxmlformats.org/officeDocument/2006/relationships/ctrlProp" Target="../ctrlProps/ctrlProp124.xml"/><Relationship Id="rId152" Type="http://schemas.openxmlformats.org/officeDocument/2006/relationships/ctrlProp" Target="../ctrlProps/ctrlProp194.xml"/><Relationship Id="rId173" Type="http://schemas.openxmlformats.org/officeDocument/2006/relationships/ctrlProp" Target="../ctrlProps/ctrlProp215.xml"/><Relationship Id="rId19" Type="http://schemas.openxmlformats.org/officeDocument/2006/relationships/ctrlProp" Target="../ctrlProps/ctrlProp61.xml"/><Relationship Id="rId14" Type="http://schemas.openxmlformats.org/officeDocument/2006/relationships/ctrlProp" Target="../ctrlProps/ctrlProp56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56" Type="http://schemas.openxmlformats.org/officeDocument/2006/relationships/ctrlProp" Target="../ctrlProps/ctrlProp98.xml"/><Relationship Id="rId77" Type="http://schemas.openxmlformats.org/officeDocument/2006/relationships/ctrlProp" Target="../ctrlProps/ctrlProp119.xml"/><Relationship Id="rId100" Type="http://schemas.openxmlformats.org/officeDocument/2006/relationships/ctrlProp" Target="../ctrlProps/ctrlProp142.xml"/><Relationship Id="rId105" Type="http://schemas.openxmlformats.org/officeDocument/2006/relationships/ctrlProp" Target="../ctrlProps/ctrlProp147.xml"/><Relationship Id="rId126" Type="http://schemas.openxmlformats.org/officeDocument/2006/relationships/ctrlProp" Target="../ctrlProps/ctrlProp168.xml"/><Relationship Id="rId147" Type="http://schemas.openxmlformats.org/officeDocument/2006/relationships/ctrlProp" Target="../ctrlProps/ctrlProp189.xml"/><Relationship Id="rId168" Type="http://schemas.openxmlformats.org/officeDocument/2006/relationships/ctrlProp" Target="../ctrlProps/ctrlProp210.xml"/><Relationship Id="rId8" Type="http://schemas.openxmlformats.org/officeDocument/2006/relationships/ctrlProp" Target="../ctrlProps/ctrlProp50.xml"/><Relationship Id="rId51" Type="http://schemas.openxmlformats.org/officeDocument/2006/relationships/ctrlProp" Target="../ctrlProps/ctrlProp93.xml"/><Relationship Id="rId72" Type="http://schemas.openxmlformats.org/officeDocument/2006/relationships/ctrlProp" Target="../ctrlProps/ctrlProp114.xml"/><Relationship Id="rId93" Type="http://schemas.openxmlformats.org/officeDocument/2006/relationships/ctrlProp" Target="../ctrlProps/ctrlProp135.xml"/><Relationship Id="rId98" Type="http://schemas.openxmlformats.org/officeDocument/2006/relationships/ctrlProp" Target="../ctrlProps/ctrlProp140.xml"/><Relationship Id="rId121" Type="http://schemas.openxmlformats.org/officeDocument/2006/relationships/ctrlProp" Target="../ctrlProps/ctrlProp163.xml"/><Relationship Id="rId142" Type="http://schemas.openxmlformats.org/officeDocument/2006/relationships/ctrlProp" Target="../ctrlProps/ctrlProp184.xml"/><Relationship Id="rId163" Type="http://schemas.openxmlformats.org/officeDocument/2006/relationships/ctrlProp" Target="../ctrlProps/ctrlProp205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67.xml"/><Relationship Id="rId46" Type="http://schemas.openxmlformats.org/officeDocument/2006/relationships/ctrlProp" Target="../ctrlProps/ctrlProp88.xml"/><Relationship Id="rId67" Type="http://schemas.openxmlformats.org/officeDocument/2006/relationships/ctrlProp" Target="../ctrlProps/ctrlProp109.xml"/><Relationship Id="rId116" Type="http://schemas.openxmlformats.org/officeDocument/2006/relationships/ctrlProp" Target="../ctrlProps/ctrlProp158.xml"/><Relationship Id="rId137" Type="http://schemas.openxmlformats.org/officeDocument/2006/relationships/ctrlProp" Target="../ctrlProps/ctrlProp179.xml"/><Relationship Id="rId158" Type="http://schemas.openxmlformats.org/officeDocument/2006/relationships/ctrlProp" Target="../ctrlProps/ctrlProp20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Relationship Id="rId62" Type="http://schemas.openxmlformats.org/officeDocument/2006/relationships/ctrlProp" Target="../ctrlProps/ctrlProp104.xml"/><Relationship Id="rId83" Type="http://schemas.openxmlformats.org/officeDocument/2006/relationships/ctrlProp" Target="../ctrlProps/ctrlProp125.xml"/><Relationship Id="rId88" Type="http://schemas.openxmlformats.org/officeDocument/2006/relationships/ctrlProp" Target="../ctrlProps/ctrlProp130.xml"/><Relationship Id="rId111" Type="http://schemas.openxmlformats.org/officeDocument/2006/relationships/ctrlProp" Target="../ctrlProps/ctrlProp153.xml"/><Relationship Id="rId132" Type="http://schemas.openxmlformats.org/officeDocument/2006/relationships/ctrlProp" Target="../ctrlProps/ctrlProp174.xml"/><Relationship Id="rId153" Type="http://schemas.openxmlformats.org/officeDocument/2006/relationships/ctrlProp" Target="../ctrlProps/ctrlProp195.xml"/><Relationship Id="rId174" Type="http://schemas.openxmlformats.org/officeDocument/2006/relationships/ctrlProp" Target="../ctrlProps/ctrlProp216.xml"/><Relationship Id="rId179" Type="http://schemas.openxmlformats.org/officeDocument/2006/relationships/ctrlProp" Target="../ctrlProps/ctrlProp221.xml"/><Relationship Id="rId15" Type="http://schemas.openxmlformats.org/officeDocument/2006/relationships/ctrlProp" Target="../ctrlProps/ctrlProp57.xml"/><Relationship Id="rId36" Type="http://schemas.openxmlformats.org/officeDocument/2006/relationships/ctrlProp" Target="../ctrlProps/ctrlProp78.xml"/><Relationship Id="rId57" Type="http://schemas.openxmlformats.org/officeDocument/2006/relationships/ctrlProp" Target="../ctrlProps/ctrlProp99.xml"/><Relationship Id="rId106" Type="http://schemas.openxmlformats.org/officeDocument/2006/relationships/ctrlProp" Target="../ctrlProps/ctrlProp148.xml"/><Relationship Id="rId127" Type="http://schemas.openxmlformats.org/officeDocument/2006/relationships/ctrlProp" Target="../ctrlProps/ctrlProp169.xml"/><Relationship Id="rId10" Type="http://schemas.openxmlformats.org/officeDocument/2006/relationships/ctrlProp" Target="../ctrlProps/ctrlProp52.xml"/><Relationship Id="rId31" Type="http://schemas.openxmlformats.org/officeDocument/2006/relationships/ctrlProp" Target="../ctrlProps/ctrlProp73.xml"/><Relationship Id="rId52" Type="http://schemas.openxmlformats.org/officeDocument/2006/relationships/ctrlProp" Target="../ctrlProps/ctrlProp94.xml"/><Relationship Id="rId73" Type="http://schemas.openxmlformats.org/officeDocument/2006/relationships/ctrlProp" Target="../ctrlProps/ctrlProp115.xml"/><Relationship Id="rId78" Type="http://schemas.openxmlformats.org/officeDocument/2006/relationships/ctrlProp" Target="../ctrlProps/ctrlProp120.xml"/><Relationship Id="rId94" Type="http://schemas.openxmlformats.org/officeDocument/2006/relationships/ctrlProp" Target="../ctrlProps/ctrlProp136.xml"/><Relationship Id="rId99" Type="http://schemas.openxmlformats.org/officeDocument/2006/relationships/ctrlProp" Target="../ctrlProps/ctrlProp141.xml"/><Relationship Id="rId101" Type="http://schemas.openxmlformats.org/officeDocument/2006/relationships/ctrlProp" Target="../ctrlProps/ctrlProp143.xml"/><Relationship Id="rId122" Type="http://schemas.openxmlformats.org/officeDocument/2006/relationships/ctrlProp" Target="../ctrlProps/ctrlProp164.xml"/><Relationship Id="rId143" Type="http://schemas.openxmlformats.org/officeDocument/2006/relationships/ctrlProp" Target="../ctrlProps/ctrlProp185.xml"/><Relationship Id="rId148" Type="http://schemas.openxmlformats.org/officeDocument/2006/relationships/ctrlProp" Target="../ctrlProps/ctrlProp190.xml"/><Relationship Id="rId164" Type="http://schemas.openxmlformats.org/officeDocument/2006/relationships/ctrlProp" Target="../ctrlProps/ctrlProp206.xml"/><Relationship Id="rId169" Type="http://schemas.openxmlformats.org/officeDocument/2006/relationships/ctrlProp" Target="../ctrlProps/ctrlProp211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Relationship Id="rId180" Type="http://schemas.openxmlformats.org/officeDocument/2006/relationships/ctrlProp" Target="../ctrlProps/ctrlProp222.xml"/><Relationship Id="rId26" Type="http://schemas.openxmlformats.org/officeDocument/2006/relationships/ctrlProp" Target="../ctrlProps/ctrlProp68.xml"/><Relationship Id="rId47" Type="http://schemas.openxmlformats.org/officeDocument/2006/relationships/ctrlProp" Target="../ctrlProps/ctrlProp89.xml"/><Relationship Id="rId68" Type="http://schemas.openxmlformats.org/officeDocument/2006/relationships/ctrlProp" Target="../ctrlProps/ctrlProp110.xml"/><Relationship Id="rId89" Type="http://schemas.openxmlformats.org/officeDocument/2006/relationships/ctrlProp" Target="../ctrlProps/ctrlProp131.xml"/><Relationship Id="rId112" Type="http://schemas.openxmlformats.org/officeDocument/2006/relationships/ctrlProp" Target="../ctrlProps/ctrlProp154.xml"/><Relationship Id="rId133" Type="http://schemas.openxmlformats.org/officeDocument/2006/relationships/ctrlProp" Target="../ctrlProps/ctrlProp175.xml"/><Relationship Id="rId154" Type="http://schemas.openxmlformats.org/officeDocument/2006/relationships/ctrlProp" Target="../ctrlProps/ctrlProp196.xml"/><Relationship Id="rId175" Type="http://schemas.openxmlformats.org/officeDocument/2006/relationships/ctrlProp" Target="../ctrlProps/ctrlProp217.xml"/><Relationship Id="rId16" Type="http://schemas.openxmlformats.org/officeDocument/2006/relationships/ctrlProp" Target="../ctrlProps/ctrlProp58.xml"/><Relationship Id="rId37" Type="http://schemas.openxmlformats.org/officeDocument/2006/relationships/ctrlProp" Target="../ctrlProps/ctrlProp79.xml"/><Relationship Id="rId58" Type="http://schemas.openxmlformats.org/officeDocument/2006/relationships/ctrlProp" Target="../ctrlProps/ctrlProp100.xml"/><Relationship Id="rId79" Type="http://schemas.openxmlformats.org/officeDocument/2006/relationships/ctrlProp" Target="../ctrlProps/ctrlProp121.xml"/><Relationship Id="rId102" Type="http://schemas.openxmlformats.org/officeDocument/2006/relationships/ctrlProp" Target="../ctrlProps/ctrlProp144.xml"/><Relationship Id="rId123" Type="http://schemas.openxmlformats.org/officeDocument/2006/relationships/ctrlProp" Target="../ctrlProps/ctrlProp165.xml"/><Relationship Id="rId144" Type="http://schemas.openxmlformats.org/officeDocument/2006/relationships/ctrlProp" Target="../ctrlProps/ctrlProp186.xml"/><Relationship Id="rId90" Type="http://schemas.openxmlformats.org/officeDocument/2006/relationships/ctrlProp" Target="../ctrlProps/ctrlProp132.xml"/><Relationship Id="rId165" Type="http://schemas.openxmlformats.org/officeDocument/2006/relationships/ctrlProp" Target="../ctrlProps/ctrlProp207.xml"/><Relationship Id="rId27" Type="http://schemas.openxmlformats.org/officeDocument/2006/relationships/ctrlProp" Target="../ctrlProps/ctrlProp69.xml"/><Relationship Id="rId48" Type="http://schemas.openxmlformats.org/officeDocument/2006/relationships/ctrlProp" Target="../ctrlProps/ctrlProp90.xml"/><Relationship Id="rId69" Type="http://schemas.openxmlformats.org/officeDocument/2006/relationships/ctrlProp" Target="../ctrlProps/ctrlProp111.xml"/><Relationship Id="rId113" Type="http://schemas.openxmlformats.org/officeDocument/2006/relationships/ctrlProp" Target="../ctrlProps/ctrlProp155.xml"/><Relationship Id="rId134" Type="http://schemas.openxmlformats.org/officeDocument/2006/relationships/ctrlProp" Target="../ctrlProps/ctrlProp176.xml"/><Relationship Id="rId80" Type="http://schemas.openxmlformats.org/officeDocument/2006/relationships/ctrlProp" Target="../ctrlProps/ctrlProp122.xml"/><Relationship Id="rId155" Type="http://schemas.openxmlformats.org/officeDocument/2006/relationships/ctrlProp" Target="../ctrlProps/ctrlProp197.xml"/><Relationship Id="rId176" Type="http://schemas.openxmlformats.org/officeDocument/2006/relationships/ctrlProp" Target="../ctrlProps/ctrlProp218.xml"/><Relationship Id="rId17" Type="http://schemas.openxmlformats.org/officeDocument/2006/relationships/ctrlProp" Target="../ctrlProps/ctrlProp59.xml"/><Relationship Id="rId38" Type="http://schemas.openxmlformats.org/officeDocument/2006/relationships/ctrlProp" Target="../ctrlProps/ctrlProp80.xml"/><Relationship Id="rId59" Type="http://schemas.openxmlformats.org/officeDocument/2006/relationships/ctrlProp" Target="../ctrlProps/ctrlProp101.xml"/><Relationship Id="rId103" Type="http://schemas.openxmlformats.org/officeDocument/2006/relationships/ctrlProp" Target="../ctrlProps/ctrlProp145.xml"/><Relationship Id="rId124" Type="http://schemas.openxmlformats.org/officeDocument/2006/relationships/ctrlProp" Target="../ctrlProps/ctrlProp166.xml"/><Relationship Id="rId70" Type="http://schemas.openxmlformats.org/officeDocument/2006/relationships/ctrlProp" Target="../ctrlProps/ctrlProp112.xml"/><Relationship Id="rId91" Type="http://schemas.openxmlformats.org/officeDocument/2006/relationships/ctrlProp" Target="../ctrlProps/ctrlProp133.xml"/><Relationship Id="rId145" Type="http://schemas.openxmlformats.org/officeDocument/2006/relationships/ctrlProp" Target="../ctrlProps/ctrlProp187.xml"/><Relationship Id="rId166" Type="http://schemas.openxmlformats.org/officeDocument/2006/relationships/ctrlProp" Target="../ctrlProps/ctrlProp208.xml"/><Relationship Id="rId1" Type="http://schemas.openxmlformats.org/officeDocument/2006/relationships/printerSettings" Target="../printerSettings/printerSettings4.bin"/><Relationship Id="rId28" Type="http://schemas.openxmlformats.org/officeDocument/2006/relationships/ctrlProp" Target="../ctrlProps/ctrlProp70.xml"/><Relationship Id="rId49" Type="http://schemas.openxmlformats.org/officeDocument/2006/relationships/ctrlProp" Target="../ctrlProps/ctrlProp91.xml"/><Relationship Id="rId114" Type="http://schemas.openxmlformats.org/officeDocument/2006/relationships/ctrlProp" Target="../ctrlProps/ctrlProp15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ctrlProp" Target="../ctrlProps/ctrlProp22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33.xml"/><Relationship Id="rId18" Type="http://schemas.openxmlformats.org/officeDocument/2006/relationships/ctrlProp" Target="../ctrlProps/ctrlProp238.xml"/><Relationship Id="rId26" Type="http://schemas.openxmlformats.org/officeDocument/2006/relationships/ctrlProp" Target="../ctrlProps/ctrlProp246.xml"/><Relationship Id="rId39" Type="http://schemas.openxmlformats.org/officeDocument/2006/relationships/ctrlProp" Target="../ctrlProps/ctrlProp259.xml"/><Relationship Id="rId21" Type="http://schemas.openxmlformats.org/officeDocument/2006/relationships/ctrlProp" Target="../ctrlProps/ctrlProp241.xml"/><Relationship Id="rId34" Type="http://schemas.openxmlformats.org/officeDocument/2006/relationships/ctrlProp" Target="../ctrlProps/ctrlProp254.xml"/><Relationship Id="rId42" Type="http://schemas.openxmlformats.org/officeDocument/2006/relationships/ctrlProp" Target="../ctrlProps/ctrlProp262.xml"/><Relationship Id="rId47" Type="http://schemas.openxmlformats.org/officeDocument/2006/relationships/ctrlProp" Target="../ctrlProps/ctrlProp267.xml"/><Relationship Id="rId7" Type="http://schemas.openxmlformats.org/officeDocument/2006/relationships/ctrlProp" Target="../ctrlProps/ctrlProp227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236.xml"/><Relationship Id="rId29" Type="http://schemas.openxmlformats.org/officeDocument/2006/relationships/ctrlProp" Target="../ctrlProps/ctrlProp24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26.xml"/><Relationship Id="rId11" Type="http://schemas.openxmlformats.org/officeDocument/2006/relationships/ctrlProp" Target="../ctrlProps/ctrlProp231.xml"/><Relationship Id="rId24" Type="http://schemas.openxmlformats.org/officeDocument/2006/relationships/ctrlProp" Target="../ctrlProps/ctrlProp244.xml"/><Relationship Id="rId32" Type="http://schemas.openxmlformats.org/officeDocument/2006/relationships/ctrlProp" Target="../ctrlProps/ctrlProp252.xml"/><Relationship Id="rId37" Type="http://schemas.openxmlformats.org/officeDocument/2006/relationships/ctrlProp" Target="../ctrlProps/ctrlProp257.xml"/><Relationship Id="rId40" Type="http://schemas.openxmlformats.org/officeDocument/2006/relationships/ctrlProp" Target="../ctrlProps/ctrlProp260.xml"/><Relationship Id="rId45" Type="http://schemas.openxmlformats.org/officeDocument/2006/relationships/ctrlProp" Target="../ctrlProps/ctrlProp265.xml"/><Relationship Id="rId5" Type="http://schemas.openxmlformats.org/officeDocument/2006/relationships/ctrlProp" Target="../ctrlProps/ctrlProp225.xml"/><Relationship Id="rId15" Type="http://schemas.openxmlformats.org/officeDocument/2006/relationships/ctrlProp" Target="../ctrlProps/ctrlProp235.xml"/><Relationship Id="rId23" Type="http://schemas.openxmlformats.org/officeDocument/2006/relationships/ctrlProp" Target="../ctrlProps/ctrlProp243.xml"/><Relationship Id="rId28" Type="http://schemas.openxmlformats.org/officeDocument/2006/relationships/ctrlProp" Target="../ctrlProps/ctrlProp248.xml"/><Relationship Id="rId36" Type="http://schemas.openxmlformats.org/officeDocument/2006/relationships/ctrlProp" Target="../ctrlProps/ctrlProp256.xml"/><Relationship Id="rId10" Type="http://schemas.openxmlformats.org/officeDocument/2006/relationships/ctrlProp" Target="../ctrlProps/ctrlProp230.xml"/><Relationship Id="rId19" Type="http://schemas.openxmlformats.org/officeDocument/2006/relationships/ctrlProp" Target="../ctrlProps/ctrlProp239.xml"/><Relationship Id="rId31" Type="http://schemas.openxmlformats.org/officeDocument/2006/relationships/ctrlProp" Target="../ctrlProps/ctrlProp251.xml"/><Relationship Id="rId44" Type="http://schemas.openxmlformats.org/officeDocument/2006/relationships/ctrlProp" Target="../ctrlProps/ctrlProp264.xml"/><Relationship Id="rId4" Type="http://schemas.openxmlformats.org/officeDocument/2006/relationships/ctrlProp" Target="../ctrlProps/ctrlProp224.xml"/><Relationship Id="rId9" Type="http://schemas.openxmlformats.org/officeDocument/2006/relationships/ctrlProp" Target="../ctrlProps/ctrlProp229.xml"/><Relationship Id="rId14" Type="http://schemas.openxmlformats.org/officeDocument/2006/relationships/ctrlProp" Target="../ctrlProps/ctrlProp234.xml"/><Relationship Id="rId22" Type="http://schemas.openxmlformats.org/officeDocument/2006/relationships/ctrlProp" Target="../ctrlProps/ctrlProp242.xml"/><Relationship Id="rId27" Type="http://schemas.openxmlformats.org/officeDocument/2006/relationships/ctrlProp" Target="../ctrlProps/ctrlProp247.xml"/><Relationship Id="rId30" Type="http://schemas.openxmlformats.org/officeDocument/2006/relationships/ctrlProp" Target="../ctrlProps/ctrlProp250.xml"/><Relationship Id="rId35" Type="http://schemas.openxmlformats.org/officeDocument/2006/relationships/ctrlProp" Target="../ctrlProps/ctrlProp255.xml"/><Relationship Id="rId43" Type="http://schemas.openxmlformats.org/officeDocument/2006/relationships/ctrlProp" Target="../ctrlProps/ctrlProp263.xml"/><Relationship Id="rId48" Type="http://schemas.openxmlformats.org/officeDocument/2006/relationships/ctrlProp" Target="../ctrlProps/ctrlProp268.xml"/><Relationship Id="rId8" Type="http://schemas.openxmlformats.org/officeDocument/2006/relationships/ctrlProp" Target="../ctrlProps/ctrlProp228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232.xml"/><Relationship Id="rId17" Type="http://schemas.openxmlformats.org/officeDocument/2006/relationships/ctrlProp" Target="../ctrlProps/ctrlProp237.xml"/><Relationship Id="rId25" Type="http://schemas.openxmlformats.org/officeDocument/2006/relationships/ctrlProp" Target="../ctrlProps/ctrlProp245.xml"/><Relationship Id="rId33" Type="http://schemas.openxmlformats.org/officeDocument/2006/relationships/ctrlProp" Target="../ctrlProps/ctrlProp253.xml"/><Relationship Id="rId38" Type="http://schemas.openxmlformats.org/officeDocument/2006/relationships/ctrlProp" Target="../ctrlProps/ctrlProp258.xml"/><Relationship Id="rId46" Type="http://schemas.openxmlformats.org/officeDocument/2006/relationships/ctrlProp" Target="../ctrlProps/ctrlProp266.xml"/><Relationship Id="rId20" Type="http://schemas.openxmlformats.org/officeDocument/2006/relationships/ctrlProp" Target="../ctrlProps/ctrlProp240.xml"/><Relationship Id="rId41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O42"/>
  <sheetViews>
    <sheetView showGridLines="0" showRowColHeaders="0" tabSelected="1" topLeftCell="B1" zoomScaleNormal="100" workbookViewId="0">
      <selection activeCell="H10" sqref="H10"/>
    </sheetView>
  </sheetViews>
  <sheetFormatPr defaultColWidth="0" defaultRowHeight="15" zeroHeight="1" x14ac:dyDescent="0.25"/>
  <cols>
    <col min="1" max="1" width="1.7109375" customWidth="1"/>
    <col min="2" max="6" width="9.140625" customWidth="1"/>
    <col min="7" max="7" width="9.28515625" customWidth="1"/>
    <col min="8" max="8" width="1.7109375" customWidth="1"/>
    <col min="9" max="9" width="9.140625" customWidth="1"/>
    <col min="10" max="10" width="7.28515625" hidden="1" customWidth="1"/>
    <col min="11" max="11" width="4.28515625" hidden="1" customWidth="1"/>
    <col min="12" max="12" width="51.85546875" hidden="1" customWidth="1"/>
    <col min="13" max="13" width="21.85546875" hidden="1" customWidth="1"/>
    <col min="14" max="14" width="18" hidden="1" customWidth="1"/>
    <col min="15" max="15" width="18.28515625" hidden="1" customWidth="1"/>
    <col min="16" max="16384" width="9.140625" hidden="1"/>
  </cols>
  <sheetData>
    <row r="1" spans="2:15" x14ac:dyDescent="0.25"/>
    <row r="2" spans="2:15" x14ac:dyDescent="0.25">
      <c r="G2" s="6"/>
    </row>
    <row r="3" spans="2:15" x14ac:dyDescent="0.25"/>
    <row r="4" spans="2:15" x14ac:dyDescent="0.25"/>
    <row r="5" spans="2:15" x14ac:dyDescent="0.25">
      <c r="I5" s="267"/>
      <c r="M5" s="112"/>
      <c r="N5" s="113"/>
      <c r="O5" s="113"/>
    </row>
    <row r="6" spans="2:15" ht="18.75" x14ac:dyDescent="0.3">
      <c r="C6" s="148"/>
      <c r="D6" s="148"/>
      <c r="E6" s="148"/>
      <c r="F6" s="148"/>
      <c r="G6" s="148"/>
      <c r="M6" s="114"/>
      <c r="N6" s="113"/>
      <c r="O6" s="113"/>
    </row>
    <row r="7" spans="2:15" x14ac:dyDescent="0.25">
      <c r="M7" s="114"/>
      <c r="N7" s="113"/>
      <c r="O7" s="113"/>
    </row>
    <row r="8" spans="2:15" x14ac:dyDescent="0.25">
      <c r="B8" s="9"/>
      <c r="C8" s="9"/>
      <c r="D8" s="9"/>
      <c r="E8" s="9"/>
      <c r="F8" s="9"/>
      <c r="G8" s="9"/>
      <c r="M8" s="114"/>
      <c r="N8" s="113"/>
      <c r="O8" s="113"/>
    </row>
    <row r="9" spans="2:15" x14ac:dyDescent="0.25">
      <c r="B9" s="9"/>
      <c r="C9" s="9"/>
      <c r="D9" s="9"/>
      <c r="E9" s="9"/>
      <c r="F9" s="9"/>
      <c r="G9" s="9"/>
      <c r="M9" s="114"/>
      <c r="N9" s="113"/>
      <c r="O9" s="113"/>
    </row>
    <row r="10" spans="2:15" x14ac:dyDescent="0.25">
      <c r="B10" s="9"/>
      <c r="C10" s="9"/>
      <c r="D10" s="9"/>
      <c r="E10" s="9"/>
      <c r="F10" s="9"/>
      <c r="G10" s="9"/>
      <c r="M10" s="114"/>
      <c r="N10" s="113"/>
      <c r="O10" s="113"/>
    </row>
    <row r="11" spans="2:15" x14ac:dyDescent="0.25">
      <c r="B11" s="9"/>
      <c r="C11" s="9"/>
      <c r="D11" s="9"/>
      <c r="E11" s="138"/>
      <c r="F11" s="9"/>
      <c r="G11" s="9"/>
      <c r="M11" s="114"/>
      <c r="N11" s="113"/>
      <c r="O11" s="113"/>
    </row>
    <row r="12" spans="2:15" x14ac:dyDescent="0.25">
      <c r="B12" s="9"/>
      <c r="C12" s="9"/>
      <c r="D12" s="9"/>
      <c r="E12" s="9"/>
      <c r="F12" s="9"/>
      <c r="G12" s="9"/>
      <c r="M12" s="114"/>
      <c r="N12" s="113"/>
      <c r="O12" s="113"/>
    </row>
    <row r="13" spans="2:15" x14ac:dyDescent="0.25">
      <c r="B13" s="9"/>
      <c r="C13" s="9"/>
      <c r="D13" s="9"/>
      <c r="E13" s="9"/>
      <c r="F13" s="9"/>
      <c r="G13" s="9"/>
      <c r="M13" s="114"/>
      <c r="N13" s="113"/>
      <c r="O13" s="113"/>
    </row>
    <row r="14" spans="2:15" x14ac:dyDescent="0.25">
      <c r="B14" s="9"/>
      <c r="C14" s="9"/>
      <c r="D14" s="9"/>
      <c r="E14" s="9"/>
      <c r="F14" s="9"/>
      <c r="G14" s="9"/>
      <c r="M14" s="114"/>
      <c r="N14" s="113"/>
      <c r="O14" s="113"/>
    </row>
    <row r="15" spans="2:15" x14ac:dyDescent="0.25">
      <c r="B15" s="9"/>
      <c r="C15" s="9"/>
      <c r="D15" s="9"/>
      <c r="E15" s="9"/>
      <c r="F15" s="9"/>
      <c r="G15" s="9"/>
      <c r="M15" s="114"/>
      <c r="N15" s="113"/>
      <c r="O15" s="113"/>
    </row>
    <row r="16" spans="2:15" x14ac:dyDescent="0.25">
      <c r="B16" s="9"/>
      <c r="C16" s="9"/>
      <c r="D16" s="9"/>
      <c r="E16" s="9"/>
      <c r="F16" s="9"/>
      <c r="G16" s="9"/>
      <c r="M16" s="112"/>
      <c r="N16" s="113"/>
      <c r="O16" s="113"/>
    </row>
    <row r="17" spans="2:15" hidden="1" x14ac:dyDescent="0.25">
      <c r="B17" s="9"/>
      <c r="C17" s="9"/>
      <c r="D17" s="9"/>
      <c r="E17" s="9"/>
      <c r="F17" s="9"/>
      <c r="G17" s="9"/>
      <c r="M17" s="114"/>
      <c r="N17" s="113"/>
      <c r="O17" s="113"/>
    </row>
    <row r="18" spans="2:15" hidden="1" x14ac:dyDescent="0.25">
      <c r="B18" s="9"/>
      <c r="C18" s="9"/>
      <c r="D18" s="9"/>
      <c r="E18" s="9"/>
      <c r="F18" s="9"/>
      <c r="G18" s="9"/>
      <c r="M18" s="114"/>
      <c r="N18" s="113"/>
      <c r="O18" s="113"/>
    </row>
    <row r="19" spans="2:15" hidden="1" x14ac:dyDescent="0.25">
      <c r="B19" s="9"/>
      <c r="C19" s="9"/>
      <c r="D19" s="9"/>
      <c r="E19" s="9"/>
      <c r="F19" s="9"/>
      <c r="G19" s="9"/>
      <c r="M19" s="114"/>
      <c r="N19" s="113"/>
      <c r="O19" s="113"/>
    </row>
    <row r="20" spans="2:15" hidden="1" x14ac:dyDescent="0.25">
      <c r="B20" s="9"/>
      <c r="C20" s="9"/>
      <c r="D20" s="9"/>
      <c r="E20" s="9"/>
      <c r="F20" s="9"/>
      <c r="G20" s="9"/>
      <c r="M20" s="114"/>
      <c r="N20" s="113"/>
      <c r="O20" s="113"/>
    </row>
    <row r="21" spans="2:15" hidden="1" x14ac:dyDescent="0.25">
      <c r="B21" s="9"/>
      <c r="C21" s="9"/>
      <c r="D21" s="9"/>
      <c r="E21" s="9"/>
      <c r="F21" s="9"/>
      <c r="G21" s="9"/>
      <c r="M21" s="112"/>
      <c r="N21" s="113"/>
      <c r="O21" s="113"/>
    </row>
    <row r="22" spans="2:15" hidden="1" x14ac:dyDescent="0.25">
      <c r="B22" s="9"/>
      <c r="C22" s="9"/>
      <c r="D22" s="9"/>
      <c r="E22" s="9"/>
      <c r="F22" s="9"/>
      <c r="G22" s="9"/>
      <c r="M22" s="114"/>
      <c r="N22" s="113"/>
      <c r="O22" s="113"/>
    </row>
    <row r="23" spans="2:15" hidden="1" x14ac:dyDescent="0.25">
      <c r="B23" s="9"/>
      <c r="C23" s="9"/>
      <c r="D23" s="9"/>
      <c r="E23" s="9"/>
      <c r="F23" s="9"/>
      <c r="G23" s="9"/>
      <c r="M23" s="114"/>
      <c r="N23" s="113"/>
      <c r="O23" s="113"/>
    </row>
    <row r="24" spans="2:15" hidden="1" x14ac:dyDescent="0.25">
      <c r="B24" s="9"/>
      <c r="C24" s="9"/>
      <c r="D24" s="9"/>
      <c r="E24" s="9"/>
      <c r="F24" s="9"/>
      <c r="G24" s="9"/>
      <c r="M24" s="114"/>
      <c r="N24" s="113"/>
      <c r="O24" s="113"/>
    </row>
    <row r="25" spans="2:15" hidden="1" x14ac:dyDescent="0.25">
      <c r="M25" s="114"/>
      <c r="N25" s="113"/>
      <c r="O25" s="113"/>
    </row>
    <row r="26" spans="2:15" ht="5.25" hidden="1" customHeight="1" x14ac:dyDescent="0.25">
      <c r="M26" s="114"/>
      <c r="N26" s="113"/>
      <c r="O26" s="113"/>
    </row>
    <row r="27" spans="2:15" hidden="1" x14ac:dyDescent="0.25">
      <c r="M27" s="114"/>
      <c r="N27" s="113"/>
      <c r="O27" s="113"/>
    </row>
    <row r="28" spans="2:15" hidden="1" x14ac:dyDescent="0.25">
      <c r="M28" s="114"/>
      <c r="N28" s="113"/>
      <c r="O28" s="113"/>
    </row>
    <row r="29" spans="2:15" hidden="1" x14ac:dyDescent="0.25">
      <c r="M29" s="114"/>
      <c r="N29" s="113"/>
      <c r="O29" s="113"/>
    </row>
    <row r="30" spans="2:15" hidden="1" x14ac:dyDescent="0.25">
      <c r="M30" s="114"/>
      <c r="N30" s="113"/>
      <c r="O30" s="113"/>
    </row>
    <row r="31" spans="2:15" hidden="1" x14ac:dyDescent="0.25">
      <c r="M31" s="114"/>
      <c r="N31" s="113"/>
      <c r="O31" s="113"/>
    </row>
    <row r="32" spans="2:15" hidden="1" x14ac:dyDescent="0.25">
      <c r="M32" s="114"/>
      <c r="N32" s="113"/>
      <c r="O32" s="113"/>
    </row>
    <row r="33" spans="13:15" hidden="1" x14ac:dyDescent="0.25">
      <c r="M33" s="114"/>
      <c r="N33" s="113"/>
      <c r="O33" s="113"/>
    </row>
    <row r="34" spans="13:15" hidden="1" x14ac:dyDescent="0.25">
      <c r="M34" s="112"/>
      <c r="N34" s="113"/>
      <c r="O34" s="113"/>
    </row>
    <row r="35" spans="13:15" ht="9.75" hidden="1" customHeight="1" x14ac:dyDescent="0.25">
      <c r="M35" s="114"/>
      <c r="N35" s="113"/>
      <c r="O35" s="113"/>
    </row>
    <row r="36" spans="13:15" hidden="1" x14ac:dyDescent="0.25">
      <c r="M36" s="114"/>
      <c r="N36" s="113"/>
      <c r="O36" s="113"/>
    </row>
    <row r="37" spans="13:15" hidden="1" x14ac:dyDescent="0.25">
      <c r="M37" s="114"/>
      <c r="N37" s="113"/>
      <c r="O37" s="113"/>
    </row>
    <row r="38" spans="13:15" hidden="1" x14ac:dyDescent="0.25">
      <c r="M38" s="114"/>
      <c r="N38" s="113"/>
      <c r="O38" s="113"/>
    </row>
    <row r="39" spans="13:15" hidden="1" x14ac:dyDescent="0.25">
      <c r="M39" s="114"/>
      <c r="N39" s="113"/>
      <c r="O39" s="113"/>
    </row>
    <row r="40" spans="13:15" hidden="1" x14ac:dyDescent="0.25">
      <c r="M40" s="114"/>
      <c r="N40" s="113"/>
      <c r="O40" s="113"/>
    </row>
    <row r="41" spans="13:15" hidden="1" x14ac:dyDescent="0.25">
      <c r="M41" s="114"/>
      <c r="N41" s="113"/>
      <c r="O41" s="113"/>
    </row>
    <row r="42" spans="13:15" hidden="1" x14ac:dyDescent="0.25">
      <c r="M42" s="114"/>
      <c r="N42" s="113"/>
      <c r="O42" s="113"/>
    </row>
  </sheetData>
  <sheetProtection algorithmName="SHA-512" hashValue="2jYbqFeGVithn6v+y3stOvh4JmvDDyJ57jkgQQ5AuHRdB7B6bQ9apUsTJHnHo5qnbZkfRRRznH1s4S3Uuxrxrg==" saltValue="VPwDWAr6WFvBmswT4ANrDw==" spinCount="100000" sheet="1" selectLockedCells="1"/>
  <mergeCells count="1">
    <mergeCell ref="C6:G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P97"/>
  <sheetViews>
    <sheetView showGridLines="0" topLeftCell="A49" zoomScaleNormal="100" zoomScaleSheetLayoutView="100" workbookViewId="0">
      <selection activeCell="B52" sqref="B52:K55"/>
    </sheetView>
  </sheetViews>
  <sheetFormatPr defaultColWidth="0" defaultRowHeight="15" zeroHeight="1" x14ac:dyDescent="0.25"/>
  <cols>
    <col min="1" max="1" width="1.28515625" customWidth="1"/>
    <col min="2" max="3" width="9.140625" customWidth="1"/>
    <col min="4" max="4" width="8" customWidth="1"/>
    <col min="5" max="5" width="10.85546875" customWidth="1"/>
    <col min="6" max="7" width="11" customWidth="1"/>
    <col min="8" max="8" width="9.42578125" customWidth="1"/>
    <col min="9" max="9" width="10" customWidth="1"/>
    <col min="10" max="10" width="8.7109375" customWidth="1"/>
    <col min="11" max="11" width="12.85546875" customWidth="1"/>
    <col min="12" max="12" width="1.140625" customWidth="1"/>
    <col min="13" max="13" width="0" hidden="1" customWidth="1"/>
    <col min="14" max="16384" width="9.140625" hidden="1"/>
  </cols>
  <sheetData>
    <row r="1" spans="2:16" ht="6" customHeight="1" x14ac:dyDescent="0.25">
      <c r="L1" s="266"/>
    </row>
    <row r="2" spans="2:16" ht="15.75" x14ac:dyDescent="0.25">
      <c r="J2" s="144"/>
      <c r="K2" s="145" t="s">
        <v>359</v>
      </c>
    </row>
    <row r="3" spans="2:16" ht="15.75" x14ac:dyDescent="0.25">
      <c r="K3" s="146" t="s">
        <v>360</v>
      </c>
    </row>
    <row r="4" spans="2:16" ht="15.75" x14ac:dyDescent="0.25">
      <c r="B4" s="202" t="s">
        <v>358</v>
      </c>
      <c r="C4" s="202"/>
      <c r="D4" s="202"/>
      <c r="E4" s="202"/>
      <c r="F4" s="202"/>
      <c r="G4" s="202"/>
      <c r="H4" s="202"/>
      <c r="I4" s="202"/>
      <c r="J4" s="202"/>
      <c r="K4" s="202"/>
    </row>
    <row r="5" spans="2:16" ht="5.0999999999999996" customHeight="1" thickBot="1" x14ac:dyDescent="0.3"/>
    <row r="6" spans="2:16" ht="15" customHeight="1" x14ac:dyDescent="0.25">
      <c r="B6" s="35" t="s">
        <v>36</v>
      </c>
      <c r="C6" s="20"/>
      <c r="D6" s="28"/>
      <c r="E6" s="211" t="s">
        <v>185</v>
      </c>
      <c r="F6" s="211"/>
      <c r="G6" s="212" t="str">
        <f>IF(D6="","",VLOOKUP(D6,Listas!B3:C21,2))</f>
        <v/>
      </c>
      <c r="H6" s="212"/>
      <c r="I6" s="212"/>
      <c r="J6" s="212"/>
      <c r="K6" s="213"/>
      <c r="L6" s="15">
        <f>DAY($G$7)</f>
        <v>25</v>
      </c>
    </row>
    <row r="7" spans="2:16" ht="15" customHeight="1" thickBot="1" x14ac:dyDescent="0.3">
      <c r="B7" s="57" t="s">
        <v>37</v>
      </c>
      <c r="C7" s="58"/>
      <c r="D7" s="59" t="s">
        <v>59</v>
      </c>
      <c r="E7" s="58"/>
      <c r="F7" s="60" t="s">
        <v>1</v>
      </c>
      <c r="G7" s="61">
        <v>44252</v>
      </c>
      <c r="H7" s="60" t="s">
        <v>63</v>
      </c>
      <c r="I7" s="62">
        <v>44252.04970787037</v>
      </c>
      <c r="J7" s="63"/>
      <c r="K7" s="23"/>
      <c r="L7" s="15">
        <f>MONTH(G7)</f>
        <v>2</v>
      </c>
    </row>
    <row r="8" spans="2:16" ht="4.5" customHeight="1" thickBot="1" x14ac:dyDescent="0.3">
      <c r="B8" s="9"/>
      <c r="C8" s="9"/>
      <c r="D8" s="9"/>
      <c r="E8" s="9"/>
      <c r="F8" s="9"/>
      <c r="G8" s="9"/>
      <c r="H8" s="9"/>
      <c r="I8" s="9"/>
      <c r="J8" s="9"/>
      <c r="K8" s="9"/>
      <c r="L8" s="16">
        <f>YEAR(G7)</f>
        <v>2021</v>
      </c>
    </row>
    <row r="9" spans="2:16" x14ac:dyDescent="0.25">
      <c r="B9" s="42" t="s">
        <v>128</v>
      </c>
      <c r="C9" s="43"/>
      <c r="D9" s="43"/>
      <c r="E9" s="43"/>
      <c r="F9" s="43"/>
      <c r="G9" s="43"/>
      <c r="H9" s="72" t="s">
        <v>186</v>
      </c>
      <c r="I9" s="69" t="str">
        <f>IFERROR(IF(#REF!&lt;&gt;"",#REF!,""),"")</f>
        <v/>
      </c>
      <c r="J9" s="29" t="s">
        <v>63</v>
      </c>
      <c r="K9" s="50"/>
      <c r="L9" s="17"/>
    </row>
    <row r="10" spans="2:16" x14ac:dyDescent="0.25">
      <c r="B10" s="206" t="s">
        <v>2</v>
      </c>
      <c r="C10" s="207"/>
      <c r="D10" s="207"/>
      <c r="E10" s="70" t="s">
        <v>29</v>
      </c>
      <c r="F10" s="70" t="s">
        <v>30</v>
      </c>
      <c r="G10" s="70" t="s">
        <v>10</v>
      </c>
      <c r="H10" s="223" t="s">
        <v>21</v>
      </c>
      <c r="I10" s="224"/>
      <c r="J10" s="224"/>
      <c r="K10" s="225"/>
      <c r="L10" s="67"/>
    </row>
    <row r="11" spans="2:16" x14ac:dyDescent="0.25">
      <c r="B11" s="48" t="s">
        <v>31</v>
      </c>
      <c r="C11" s="47"/>
      <c r="D11" s="47"/>
      <c r="E11" s="19"/>
      <c r="F11" s="19"/>
      <c r="G11" s="70"/>
      <c r="H11" s="214"/>
      <c r="I11" s="215"/>
      <c r="J11" s="215"/>
      <c r="K11" s="216"/>
      <c r="L11" s="17" t="s">
        <v>58</v>
      </c>
      <c r="P11">
        <v>43804</v>
      </c>
    </row>
    <row r="12" spans="2:16" x14ac:dyDescent="0.25">
      <c r="B12" s="203" t="s">
        <v>3</v>
      </c>
      <c r="C12" s="204"/>
      <c r="D12" s="205"/>
      <c r="E12" s="107"/>
      <c r="F12" s="107"/>
      <c r="G12" s="46" t="str">
        <f>IFERROR(IF(E12="","%",IF(F12="","%",(ABS((F12/E12)-1)*100))),"%")</f>
        <v>%</v>
      </c>
      <c r="H12" s="217"/>
      <c r="I12" s="218"/>
      <c r="J12" s="218"/>
      <c r="K12" s="219"/>
    </row>
    <row r="13" spans="2:16" x14ac:dyDescent="0.25">
      <c r="B13" s="208" t="s">
        <v>4</v>
      </c>
      <c r="C13" s="209"/>
      <c r="D13" s="210"/>
      <c r="E13" s="107"/>
      <c r="F13" s="107"/>
      <c r="G13" s="46" t="str">
        <f t="shared" ref="G13:G17" si="0">IFERROR(IF(E13="","%",IF(F13="","%",(ABS((F13/E13)-1)*100))),"%")</f>
        <v>%</v>
      </c>
      <c r="H13" s="217"/>
      <c r="I13" s="218"/>
      <c r="J13" s="218"/>
      <c r="K13" s="219"/>
    </row>
    <row r="14" spans="2:16" x14ac:dyDescent="0.25">
      <c r="B14" s="208" t="s">
        <v>5</v>
      </c>
      <c r="C14" s="209"/>
      <c r="D14" s="210"/>
      <c r="E14" s="107"/>
      <c r="F14" s="107"/>
      <c r="G14" s="46" t="str">
        <f t="shared" si="0"/>
        <v>%</v>
      </c>
      <c r="H14" s="217"/>
      <c r="I14" s="218"/>
      <c r="J14" s="218"/>
      <c r="K14" s="219"/>
    </row>
    <row r="15" spans="2:16" x14ac:dyDescent="0.25">
      <c r="B15" s="208" t="s">
        <v>23</v>
      </c>
      <c r="C15" s="209"/>
      <c r="D15" s="210"/>
      <c r="E15" s="107"/>
      <c r="F15" s="107"/>
      <c r="G15" s="46" t="str">
        <f t="shared" si="0"/>
        <v>%</v>
      </c>
      <c r="H15" s="217"/>
      <c r="I15" s="218"/>
      <c r="J15" s="218"/>
      <c r="K15" s="219"/>
    </row>
    <row r="16" spans="2:16" x14ac:dyDescent="0.25">
      <c r="B16" s="208" t="s">
        <v>6</v>
      </c>
      <c r="C16" s="209"/>
      <c r="D16" s="210"/>
      <c r="E16" s="107"/>
      <c r="F16" s="107"/>
      <c r="G16" s="46" t="str">
        <f t="shared" si="0"/>
        <v>%</v>
      </c>
      <c r="H16" s="217"/>
      <c r="I16" s="218"/>
      <c r="J16" s="218"/>
      <c r="K16" s="219"/>
    </row>
    <row r="17" spans="2:11" ht="15.75" thickBot="1" x14ac:dyDescent="0.3">
      <c r="B17" s="24" t="s">
        <v>62</v>
      </c>
      <c r="C17" s="240"/>
      <c r="D17" s="241"/>
      <c r="E17" s="108"/>
      <c r="F17" s="108"/>
      <c r="G17" s="25" t="str">
        <f t="shared" si="0"/>
        <v>%</v>
      </c>
      <c r="H17" s="220"/>
      <c r="I17" s="221"/>
      <c r="J17" s="221"/>
      <c r="K17" s="222"/>
    </row>
    <row r="18" spans="2:11" ht="16.5" thickTop="1" thickBot="1" x14ac:dyDescent="0.3">
      <c r="B18" s="21"/>
      <c r="C18" s="22"/>
      <c r="D18" s="22"/>
      <c r="E18" s="22"/>
      <c r="F18" s="22"/>
      <c r="G18" s="22" t="s">
        <v>60</v>
      </c>
      <c r="H18" s="26"/>
      <c r="I18" s="109"/>
      <c r="J18" s="22" t="s">
        <v>61</v>
      </c>
      <c r="K18" s="27"/>
    </row>
    <row r="19" spans="2:11" ht="5.0999999999999996" customHeight="1" thickBot="1" x14ac:dyDescent="0.3">
      <c r="B19" s="2"/>
      <c r="C19" s="2"/>
      <c r="D19" s="2"/>
      <c r="E19" s="2"/>
      <c r="F19" s="2"/>
      <c r="G19" s="2"/>
      <c r="H19" s="2"/>
      <c r="I19" s="2"/>
      <c r="J19" s="2"/>
      <c r="K19" s="2"/>
    </row>
    <row r="20" spans="2:11" x14ac:dyDescent="0.25">
      <c r="B20" s="41" t="s">
        <v>127</v>
      </c>
      <c r="C20" s="40"/>
      <c r="D20" s="40"/>
      <c r="E20" s="40"/>
      <c r="F20" s="40"/>
      <c r="G20" s="56"/>
      <c r="H20" s="44" t="s">
        <v>126</v>
      </c>
      <c r="I20" s="55" t="str">
        <f>IF($D$6="","",IF($G$7&lt;&gt;"",RIGHT($D$6,2)&amp;RIGHT($L$8,2)&amp;IF($L$7&lt;10,"0"&amp;$L$7,$L$7)&amp;IF($L$6&lt;10,"0"&amp;$L$6,$L$6),""))</f>
        <v/>
      </c>
      <c r="J20" s="29" t="s">
        <v>63</v>
      </c>
      <c r="K20" s="50"/>
    </row>
    <row r="21" spans="2:11" x14ac:dyDescent="0.25">
      <c r="B21" s="189" t="s">
        <v>3</v>
      </c>
      <c r="C21" s="190"/>
      <c r="D21" s="190"/>
      <c r="E21" s="190"/>
      <c r="F21" s="207" t="s">
        <v>7</v>
      </c>
      <c r="G21" s="207"/>
      <c r="H21" s="207"/>
      <c r="I21" s="207" t="s">
        <v>9</v>
      </c>
      <c r="J21" s="207"/>
      <c r="K21" s="83" t="s">
        <v>10</v>
      </c>
    </row>
    <row r="22" spans="2:11" x14ac:dyDescent="0.25">
      <c r="B22" s="179" t="s">
        <v>35</v>
      </c>
      <c r="C22" s="180"/>
      <c r="D22" s="180"/>
      <c r="E22" s="180"/>
      <c r="F22" s="182"/>
      <c r="G22" s="182"/>
      <c r="H22" s="182"/>
      <c r="I22" s="159"/>
      <c r="J22" s="160"/>
      <c r="K22" s="64" t="str">
        <f>IFERROR(IF(F22="","%",IF(I22="","%",(ABS((I22/F22)-1)*100))),"%")</f>
        <v>%</v>
      </c>
    </row>
    <row r="23" spans="2:11" ht="5.0999999999999996" customHeight="1" x14ac:dyDescent="0.25">
      <c r="B23" s="1"/>
      <c r="C23" s="2"/>
      <c r="D23" s="2"/>
      <c r="E23" s="2"/>
      <c r="F23" s="9"/>
      <c r="G23" s="9"/>
      <c r="H23" s="9"/>
      <c r="I23" s="9"/>
      <c r="J23" s="9"/>
      <c r="K23" s="18"/>
    </row>
    <row r="24" spans="2:11" ht="16.5" customHeight="1" x14ac:dyDescent="0.25">
      <c r="B24" s="166" t="s">
        <v>23</v>
      </c>
      <c r="C24" s="167"/>
      <c r="D24" s="167"/>
      <c r="E24" s="168"/>
      <c r="F24" s="172" t="s">
        <v>8</v>
      </c>
      <c r="G24" s="175" t="s">
        <v>9</v>
      </c>
      <c r="H24" s="177"/>
      <c r="I24" s="172" t="s">
        <v>28</v>
      </c>
      <c r="J24" s="175" t="s">
        <v>11</v>
      </c>
      <c r="K24" s="174" t="s">
        <v>10</v>
      </c>
    </row>
    <row r="25" spans="2:11" ht="14.25" customHeight="1" x14ac:dyDescent="0.25">
      <c r="B25" s="169"/>
      <c r="C25" s="170"/>
      <c r="D25" s="170"/>
      <c r="E25" s="171"/>
      <c r="F25" s="173"/>
      <c r="G25" s="176"/>
      <c r="H25" s="178"/>
      <c r="I25" s="173"/>
      <c r="J25" s="176"/>
      <c r="K25" s="174"/>
    </row>
    <row r="26" spans="2:11" ht="34.5" customHeight="1" x14ac:dyDescent="0.25">
      <c r="B26" s="179" t="s">
        <v>22</v>
      </c>
      <c r="C26" s="180"/>
      <c r="D26" s="180"/>
      <c r="E26" s="180"/>
      <c r="F26" s="105"/>
      <c r="G26" s="159"/>
      <c r="H26" s="160"/>
      <c r="I26" s="105"/>
      <c r="J26" s="105"/>
      <c r="K26" s="68" t="str">
        <f>IFERROR(IF(G26="","%",IF(F26="","%",(ABS((G26/F26)-1)*100))),"%")</f>
        <v>%</v>
      </c>
    </row>
    <row r="27" spans="2:11" ht="5.0999999999999996" customHeight="1" x14ac:dyDescent="0.25">
      <c r="B27" s="1"/>
      <c r="C27" s="2"/>
      <c r="D27" s="2"/>
      <c r="E27" s="2"/>
      <c r="F27" s="9"/>
      <c r="G27" s="9"/>
      <c r="H27" s="9"/>
      <c r="I27" s="9"/>
      <c r="J27" s="9"/>
      <c r="K27" s="18"/>
    </row>
    <row r="28" spans="2:11" ht="30" x14ac:dyDescent="0.25">
      <c r="B28" s="185" t="s">
        <v>17</v>
      </c>
      <c r="C28" s="186"/>
      <c r="D28" s="186"/>
      <c r="E28" s="84" t="s">
        <v>8</v>
      </c>
      <c r="F28" s="82" t="s">
        <v>12</v>
      </c>
      <c r="G28" s="165" t="s">
        <v>9</v>
      </c>
      <c r="H28" s="165"/>
      <c r="I28" s="85" t="s">
        <v>26</v>
      </c>
      <c r="J28" s="82" t="s">
        <v>19</v>
      </c>
      <c r="K28" s="83" t="s">
        <v>10</v>
      </c>
    </row>
    <row r="29" spans="2:11" ht="15" customHeight="1" x14ac:dyDescent="0.25">
      <c r="B29" s="183" t="s">
        <v>27</v>
      </c>
      <c r="C29" s="184"/>
      <c r="D29" s="184"/>
      <c r="E29" s="105"/>
      <c r="F29" s="105"/>
      <c r="G29" s="182"/>
      <c r="H29" s="182"/>
      <c r="I29" s="105"/>
      <c r="J29" s="105"/>
      <c r="K29" s="64" t="str">
        <f>IFERROR(IF(E29="","%",IF(G29="","%",(ABS((G29/E29)-1)*100))),"%")</f>
        <v>%</v>
      </c>
    </row>
    <row r="30" spans="2:11" ht="15" customHeight="1" x14ac:dyDescent="0.25">
      <c r="B30" s="183"/>
      <c r="C30" s="184"/>
      <c r="D30" s="184"/>
      <c r="E30" s="105"/>
      <c r="F30" s="105"/>
      <c r="G30" s="182"/>
      <c r="H30" s="182"/>
      <c r="I30" s="105"/>
      <c r="J30" s="105"/>
      <c r="K30" s="64" t="str">
        <f t="shared" ref="K30:K31" si="1">IFERROR(IF(E30="","%",IF(G30="","%",(ABS((G30/E30)-1)*100))),"%")</f>
        <v>%</v>
      </c>
    </row>
    <row r="31" spans="2:11" ht="15" customHeight="1" x14ac:dyDescent="0.25">
      <c r="B31" s="183"/>
      <c r="C31" s="184"/>
      <c r="D31" s="184"/>
      <c r="E31" s="105"/>
      <c r="F31" s="105"/>
      <c r="G31" s="182"/>
      <c r="H31" s="182"/>
      <c r="I31" s="105"/>
      <c r="J31" s="105"/>
      <c r="K31" s="64" t="str">
        <f t="shared" si="1"/>
        <v>%</v>
      </c>
    </row>
    <row r="32" spans="2:11" ht="5.0999999999999996" customHeight="1" x14ac:dyDescent="0.25">
      <c r="B32" s="1"/>
      <c r="C32" s="2"/>
      <c r="D32" s="2"/>
      <c r="E32" s="9"/>
      <c r="F32" s="9"/>
      <c r="G32" s="9"/>
      <c r="H32" s="9"/>
      <c r="I32" s="9"/>
      <c r="J32" s="9"/>
      <c r="K32" s="18"/>
    </row>
    <row r="33" spans="2:13" ht="15" customHeight="1" x14ac:dyDescent="0.25">
      <c r="B33" s="197" t="s">
        <v>18</v>
      </c>
      <c r="C33" s="198"/>
      <c r="D33" s="198"/>
      <c r="E33" s="165" t="s">
        <v>12</v>
      </c>
      <c r="F33" s="196" t="s">
        <v>13</v>
      </c>
      <c r="G33" s="164" t="s">
        <v>16</v>
      </c>
      <c r="H33" s="164"/>
      <c r="I33" s="164" t="s">
        <v>9</v>
      </c>
      <c r="J33" s="164"/>
      <c r="K33" s="181" t="s">
        <v>10</v>
      </c>
    </row>
    <row r="34" spans="2:13" x14ac:dyDescent="0.25">
      <c r="B34" s="197"/>
      <c r="C34" s="198"/>
      <c r="D34" s="198"/>
      <c r="E34" s="165"/>
      <c r="F34" s="196"/>
      <c r="G34" s="81" t="s">
        <v>14</v>
      </c>
      <c r="H34" s="81" t="s">
        <v>15</v>
      </c>
      <c r="I34" s="81" t="s">
        <v>14</v>
      </c>
      <c r="J34" s="81" t="s">
        <v>15</v>
      </c>
      <c r="K34" s="181"/>
    </row>
    <row r="35" spans="2:13" ht="30" customHeight="1" x14ac:dyDescent="0.25">
      <c r="B35" s="183" t="s">
        <v>24</v>
      </c>
      <c r="C35" s="184"/>
      <c r="D35" s="184"/>
      <c r="E35" s="105"/>
      <c r="F35" s="105"/>
      <c r="G35" s="66" t="str">
        <f>IFERROR(((1-(EXP(11.8571-(3840.7/($E35+273.15))-(216961/($E35+273.15)^2)))/(F$35/760))*(1-(0.000975-(1.426*10^(-5)*$E35)+(6.436*10^(-8)*$E35^2))*(F$35/760)))/((1-(EXP(11.8571-(3840.7/($E35+273.15))-(216961/($E35+273.15)^2))))*(1-(0.000975-(1.426*10^(-5)*$E35)+(6.436*10^(-8)*$E35^2))))*(F$35/760)*(EXP((-139.34411)+((1.575701*10^5)/($E35+273.15))-((6.642308*10^7)/(($E35+273.15)^2))+((1.2438*10^10)/(($E35+273.15)^3))-((8.621949*10^11)/(($E35+273.15)^4)))),"")</f>
        <v/>
      </c>
      <c r="H35" s="51" t="str">
        <f>IF(F35="","",F35/7.6)</f>
        <v/>
      </c>
      <c r="I35" s="105"/>
      <c r="J35" s="105"/>
      <c r="K35" s="68" t="str">
        <f>IFERROR(IF(G35="","%",IF(I35="","%",(ABS((I35/G35)-1)*100))),"%")</f>
        <v>%</v>
      </c>
      <c r="M35" s="14"/>
    </row>
    <row r="36" spans="2:13" ht="5.0999999999999996" customHeight="1" x14ac:dyDescent="0.25">
      <c r="B36" s="1"/>
      <c r="C36" s="2"/>
      <c r="D36" s="2"/>
      <c r="E36" s="9"/>
      <c r="F36" s="9"/>
      <c r="G36" s="9"/>
      <c r="H36" s="9"/>
      <c r="I36" s="9"/>
      <c r="J36" s="9"/>
      <c r="K36" s="18"/>
    </row>
    <row r="37" spans="2:13" ht="30" customHeight="1" x14ac:dyDescent="0.25">
      <c r="B37" s="185" t="s">
        <v>6</v>
      </c>
      <c r="C37" s="186"/>
      <c r="D37" s="186"/>
      <c r="E37" s="186"/>
      <c r="F37" s="187" t="s">
        <v>25</v>
      </c>
      <c r="G37" s="187"/>
      <c r="H37" s="84" t="s">
        <v>8</v>
      </c>
      <c r="I37" s="165" t="s">
        <v>9</v>
      </c>
      <c r="J37" s="165"/>
      <c r="K37" s="83" t="s">
        <v>10</v>
      </c>
    </row>
    <row r="38" spans="2:13" ht="15" customHeight="1" x14ac:dyDescent="0.25">
      <c r="B38" s="183" t="s">
        <v>20</v>
      </c>
      <c r="C38" s="184"/>
      <c r="D38" s="184"/>
      <c r="E38" s="184"/>
      <c r="F38" s="193"/>
      <c r="G38" s="193"/>
      <c r="H38" s="105"/>
      <c r="I38" s="182"/>
      <c r="J38" s="182"/>
      <c r="K38" s="64" t="str">
        <f>IFERROR(IF(H38="","%",IF(I38="","%",(ABS((I38/H38)-1)*100))),"%")</f>
        <v>%</v>
      </c>
    </row>
    <row r="39" spans="2:13" ht="15.75" thickBot="1" x14ac:dyDescent="0.3">
      <c r="B39" s="242"/>
      <c r="C39" s="243"/>
      <c r="D39" s="243"/>
      <c r="E39" s="243"/>
      <c r="F39" s="194"/>
      <c r="G39" s="194"/>
      <c r="H39" s="106"/>
      <c r="I39" s="192"/>
      <c r="J39" s="192"/>
      <c r="K39" s="65" t="str">
        <f>IFERROR(IF(H39="","%",IF(I39="","%",(ABS((I39/H39)-1)*100))),"%")</f>
        <v>%</v>
      </c>
    </row>
    <row r="40" spans="2:13" ht="5.0999999999999996" customHeight="1" thickBot="1" x14ac:dyDescent="0.3">
      <c r="B40" s="3"/>
      <c r="C40" s="3"/>
      <c r="D40" s="3"/>
      <c r="E40" s="188"/>
      <c r="F40" s="188"/>
      <c r="G40" s="4"/>
      <c r="H40" s="188"/>
      <c r="I40" s="188"/>
      <c r="J40" s="5"/>
    </row>
    <row r="41" spans="2:13" x14ac:dyDescent="0.25">
      <c r="B41" s="30" t="s">
        <v>67</v>
      </c>
      <c r="C41" s="31"/>
      <c r="D41" s="161">
        <v>2</v>
      </c>
      <c r="E41" s="161"/>
      <c r="F41" s="31"/>
      <c r="G41" s="31"/>
      <c r="H41" s="32" t="s">
        <v>68</v>
      </c>
      <c r="I41" s="162"/>
      <c r="J41" s="162"/>
      <c r="K41" s="163"/>
    </row>
    <row r="42" spans="2:13" x14ac:dyDescent="0.25">
      <c r="B42" s="189" t="s">
        <v>2</v>
      </c>
      <c r="C42" s="190"/>
      <c r="D42" s="191"/>
      <c r="E42" s="33" t="s">
        <v>33</v>
      </c>
      <c r="F42" s="34" t="s">
        <v>34</v>
      </c>
      <c r="G42" s="190" t="s">
        <v>32</v>
      </c>
      <c r="H42" s="190"/>
      <c r="I42" s="190"/>
      <c r="J42" s="190"/>
      <c r="K42" s="195"/>
    </row>
    <row r="43" spans="2:13" x14ac:dyDescent="0.25">
      <c r="B43" s="199" t="s">
        <v>3</v>
      </c>
      <c r="C43" s="200"/>
      <c r="D43" s="201"/>
      <c r="E43" s="38">
        <v>2</v>
      </c>
      <c r="F43" s="38">
        <v>2</v>
      </c>
      <c r="G43" s="151"/>
      <c r="H43" s="152"/>
      <c r="I43" s="120"/>
      <c r="J43" s="152"/>
      <c r="K43" s="157"/>
    </row>
    <row r="44" spans="2:13" x14ac:dyDescent="0.25">
      <c r="B44" s="199" t="s">
        <v>4</v>
      </c>
      <c r="C44" s="200">
        <v>1</v>
      </c>
      <c r="D44" s="201"/>
      <c r="E44" s="38">
        <v>2</v>
      </c>
      <c r="F44" s="38">
        <v>2</v>
      </c>
      <c r="G44" s="153"/>
      <c r="H44" s="154"/>
      <c r="I44" s="120"/>
      <c r="J44" s="154"/>
      <c r="K44" s="158"/>
    </row>
    <row r="45" spans="2:13" x14ac:dyDescent="0.25">
      <c r="B45" s="199" t="s">
        <v>5</v>
      </c>
      <c r="C45" s="200"/>
      <c r="D45" s="201"/>
      <c r="E45" s="38">
        <v>2</v>
      </c>
      <c r="F45" s="38">
        <v>2</v>
      </c>
      <c r="G45" s="153"/>
      <c r="H45" s="154"/>
      <c r="I45" s="120"/>
      <c r="J45" s="154"/>
      <c r="K45" s="158"/>
    </row>
    <row r="46" spans="2:13" x14ac:dyDescent="0.25">
      <c r="B46" s="199" t="s">
        <v>23</v>
      </c>
      <c r="C46" s="200"/>
      <c r="D46" s="201"/>
      <c r="E46" s="38">
        <v>2</v>
      </c>
      <c r="F46" s="38">
        <v>2</v>
      </c>
      <c r="G46" s="153"/>
      <c r="H46" s="154"/>
      <c r="I46" s="120"/>
      <c r="J46" s="154"/>
      <c r="K46" s="158"/>
    </row>
    <row r="47" spans="2:13" x14ac:dyDescent="0.25">
      <c r="B47" s="199" t="s">
        <v>6</v>
      </c>
      <c r="C47" s="200"/>
      <c r="D47" s="201"/>
      <c r="E47" s="38">
        <v>2</v>
      </c>
      <c r="F47" s="38">
        <v>2</v>
      </c>
      <c r="G47" s="153"/>
      <c r="H47" s="154"/>
      <c r="I47" s="120"/>
      <c r="J47" s="154"/>
      <c r="K47" s="158"/>
    </row>
    <row r="48" spans="2:13" ht="15.75" thickBot="1" x14ac:dyDescent="0.3">
      <c r="B48" s="52" t="s">
        <v>62</v>
      </c>
      <c r="C48" s="238"/>
      <c r="D48" s="239"/>
      <c r="E48" s="53">
        <v>2</v>
      </c>
      <c r="F48" s="53">
        <v>2</v>
      </c>
      <c r="G48" s="155"/>
      <c r="H48" s="156"/>
      <c r="I48" s="121"/>
      <c r="J48" s="149"/>
      <c r="K48" s="150"/>
    </row>
    <row r="49" spans="2:11" ht="15.75" thickBot="1" x14ac:dyDescent="0.3">
      <c r="B49" s="36" t="s">
        <v>69</v>
      </c>
      <c r="C49" s="37"/>
      <c r="D49" s="39">
        <v>2</v>
      </c>
      <c r="E49" s="39"/>
      <c r="F49" s="98" t="s">
        <v>182</v>
      </c>
      <c r="G49" s="122"/>
      <c r="H49" s="97" t="s">
        <v>61</v>
      </c>
      <c r="I49" s="95"/>
      <c r="J49" s="95"/>
      <c r="K49" s="96">
        <f>D49</f>
        <v>2</v>
      </c>
    </row>
    <row r="50" spans="2:11" ht="5.0999999999999996" customHeight="1" thickBot="1" x14ac:dyDescent="0.3">
      <c r="B50" s="2"/>
      <c r="C50" s="2"/>
      <c r="D50" s="2"/>
      <c r="E50" s="2"/>
      <c r="F50" s="2"/>
      <c r="G50" s="2"/>
      <c r="H50" s="2"/>
      <c r="I50" s="2"/>
      <c r="J50" s="2"/>
    </row>
    <row r="51" spans="2:11" x14ac:dyDescent="0.25">
      <c r="B51" s="235" t="s">
        <v>21</v>
      </c>
      <c r="C51" s="236"/>
      <c r="D51" s="236"/>
      <c r="E51" s="236"/>
      <c r="F51" s="236"/>
      <c r="G51" s="236"/>
      <c r="H51" s="236"/>
      <c r="I51" s="236"/>
      <c r="J51" s="236"/>
      <c r="K51" s="237"/>
    </row>
    <row r="52" spans="2:11" x14ac:dyDescent="0.25">
      <c r="B52" s="226"/>
      <c r="C52" s="227"/>
      <c r="D52" s="227"/>
      <c r="E52" s="227"/>
      <c r="F52" s="227"/>
      <c r="G52" s="227"/>
      <c r="H52" s="227"/>
      <c r="I52" s="227"/>
      <c r="J52" s="227"/>
      <c r="K52" s="228"/>
    </row>
    <row r="53" spans="2:11" x14ac:dyDescent="0.25">
      <c r="B53" s="229"/>
      <c r="C53" s="230"/>
      <c r="D53" s="230"/>
      <c r="E53" s="230"/>
      <c r="F53" s="230"/>
      <c r="G53" s="230"/>
      <c r="H53" s="230"/>
      <c r="I53" s="230"/>
      <c r="J53" s="230"/>
      <c r="K53" s="231"/>
    </row>
    <row r="54" spans="2:11" x14ac:dyDescent="0.25">
      <c r="B54" s="229"/>
      <c r="C54" s="230"/>
      <c r="D54" s="230"/>
      <c r="E54" s="230"/>
      <c r="F54" s="230"/>
      <c r="G54" s="230"/>
      <c r="H54" s="230"/>
      <c r="I54" s="230"/>
      <c r="J54" s="230"/>
      <c r="K54" s="231"/>
    </row>
    <row r="55" spans="2:11" ht="15.75" thickBot="1" x14ac:dyDescent="0.3">
      <c r="B55" s="232"/>
      <c r="C55" s="233"/>
      <c r="D55" s="233"/>
      <c r="E55" s="233"/>
      <c r="F55" s="233"/>
      <c r="G55" s="233"/>
      <c r="H55" s="233"/>
      <c r="I55" s="233"/>
      <c r="J55" s="233"/>
      <c r="K55" s="234"/>
    </row>
    <row r="56" spans="2:11" x14ac:dyDescent="0.25">
      <c r="B56" s="2"/>
      <c r="C56" s="2"/>
      <c r="D56" s="2"/>
      <c r="E56" s="2"/>
      <c r="F56" s="2"/>
      <c r="G56" s="2"/>
      <c r="H56" s="2"/>
      <c r="I56" s="2"/>
      <c r="J56" s="2"/>
    </row>
    <row r="57" spans="2:11" x14ac:dyDescent="0.25">
      <c r="B57" s="2"/>
      <c r="C57" s="2"/>
      <c r="D57" s="2"/>
      <c r="E57" s="2"/>
      <c r="F57" s="2"/>
      <c r="G57" s="2"/>
      <c r="H57" s="2"/>
      <c r="I57" s="2"/>
      <c r="J57" s="2"/>
    </row>
    <row r="58" spans="2:11" x14ac:dyDescent="0.25">
      <c r="B58" s="2"/>
      <c r="C58" s="2"/>
      <c r="D58" s="2"/>
      <c r="E58" s="2"/>
      <c r="F58" s="2"/>
      <c r="G58" s="2"/>
      <c r="H58" s="2"/>
      <c r="I58" s="2"/>
      <c r="J58" s="2"/>
    </row>
    <row r="59" spans="2:11" ht="9" customHeight="1" x14ac:dyDescent="0.25">
      <c r="B59" s="2"/>
      <c r="C59" s="2"/>
      <c r="D59" s="2"/>
      <c r="E59" s="2"/>
      <c r="F59" s="2"/>
      <c r="G59" s="2"/>
      <c r="H59" s="2"/>
      <c r="I59" s="2"/>
      <c r="J59" s="2"/>
    </row>
    <row r="60" spans="2:11" hidden="1" x14ac:dyDescent="0.25">
      <c r="B60" s="2"/>
      <c r="C60" s="2"/>
      <c r="D60" s="2"/>
      <c r="E60" s="2"/>
      <c r="F60" s="2"/>
      <c r="G60" s="2"/>
      <c r="H60" s="2"/>
      <c r="I60" s="2"/>
      <c r="J60" s="2"/>
    </row>
    <row r="61" spans="2:11" hidden="1" x14ac:dyDescent="0.25">
      <c r="B61" s="2"/>
      <c r="C61" s="2"/>
      <c r="D61" s="2"/>
      <c r="E61" s="2"/>
      <c r="F61" s="2"/>
      <c r="G61" s="2"/>
      <c r="H61" s="2"/>
      <c r="I61" s="2"/>
      <c r="J61" s="2"/>
    </row>
    <row r="62" spans="2:11" hidden="1" x14ac:dyDescent="0.25">
      <c r="B62" s="2"/>
      <c r="C62" s="2"/>
      <c r="D62" s="2"/>
      <c r="E62" s="2"/>
      <c r="F62" s="2"/>
      <c r="G62" s="2"/>
      <c r="H62" s="2"/>
      <c r="I62" s="2"/>
      <c r="J62" s="2"/>
    </row>
    <row r="63" spans="2:11" hidden="1" x14ac:dyDescent="0.25">
      <c r="B63" s="2"/>
      <c r="C63" s="2"/>
      <c r="D63" s="2"/>
      <c r="E63" s="2"/>
      <c r="F63" s="2"/>
      <c r="G63" s="2"/>
      <c r="H63" s="2"/>
      <c r="I63" s="2"/>
      <c r="J63" s="2"/>
    </row>
    <row r="64" spans="2:11" hidden="1" x14ac:dyDescent="0.25">
      <c r="B64" s="2"/>
      <c r="C64" s="2"/>
      <c r="D64" s="2"/>
      <c r="E64" s="2"/>
      <c r="F64" s="2"/>
      <c r="G64" s="2"/>
      <c r="H64" s="2"/>
      <c r="I64" s="2"/>
      <c r="J64" s="2"/>
    </row>
    <row r="65" spans="2:10" hidden="1" x14ac:dyDescent="0.25">
      <c r="B65" s="2"/>
      <c r="C65" s="2"/>
      <c r="D65" s="2"/>
      <c r="E65" s="2"/>
      <c r="F65" s="2"/>
      <c r="G65" s="2"/>
      <c r="H65" s="2"/>
      <c r="I65" s="2"/>
      <c r="J65" s="2"/>
    </row>
    <row r="66" spans="2:10" hidden="1" x14ac:dyDescent="0.25">
      <c r="B66" s="2"/>
      <c r="C66" s="2"/>
      <c r="D66" s="2"/>
      <c r="E66" s="2"/>
      <c r="F66" s="2"/>
      <c r="G66" s="2"/>
      <c r="H66" s="2"/>
      <c r="I66" s="2"/>
      <c r="J66" s="2"/>
    </row>
    <row r="67" spans="2:10" hidden="1" x14ac:dyDescent="0.25">
      <c r="B67" s="2"/>
      <c r="C67" s="2"/>
      <c r="D67" s="2"/>
      <c r="E67" s="2"/>
      <c r="F67" s="2"/>
      <c r="G67" s="2"/>
      <c r="H67" s="2"/>
      <c r="I67" s="2"/>
      <c r="J67" s="2"/>
    </row>
    <row r="68" spans="2:10" hidden="1" x14ac:dyDescent="0.25">
      <c r="B68" s="2"/>
      <c r="C68" s="2"/>
      <c r="D68" s="2"/>
      <c r="E68" s="2"/>
      <c r="F68" s="2"/>
      <c r="G68" s="2"/>
      <c r="H68" s="2"/>
      <c r="I68" s="2"/>
      <c r="J68" s="2"/>
    </row>
    <row r="69" spans="2:10" hidden="1" x14ac:dyDescent="0.25">
      <c r="B69" s="2"/>
      <c r="C69" s="2"/>
      <c r="D69" s="2"/>
      <c r="E69" s="2"/>
      <c r="F69" s="2"/>
      <c r="G69" s="2"/>
      <c r="H69" s="2"/>
      <c r="I69" s="2"/>
      <c r="J69" s="2"/>
    </row>
    <row r="70" spans="2:10" hidden="1" x14ac:dyDescent="0.25">
      <c r="B70" s="2"/>
      <c r="C70" s="2"/>
      <c r="D70" s="2"/>
      <c r="E70" s="2"/>
      <c r="F70" s="2"/>
      <c r="G70" s="2"/>
      <c r="H70" s="2"/>
      <c r="I70" s="2"/>
      <c r="J70" s="2"/>
    </row>
    <row r="71" spans="2:10" hidden="1" x14ac:dyDescent="0.25">
      <c r="B71" s="2"/>
      <c r="C71" s="2"/>
      <c r="D71" s="2"/>
      <c r="E71" s="2"/>
      <c r="F71" s="2"/>
      <c r="G71" s="2"/>
      <c r="H71" s="2"/>
      <c r="I71" s="2"/>
      <c r="J71" s="2"/>
    </row>
    <row r="72" spans="2:10" hidden="1" x14ac:dyDescent="0.25">
      <c r="B72" s="2"/>
      <c r="C72" s="2"/>
      <c r="D72" s="2"/>
      <c r="E72" s="2"/>
      <c r="F72" s="2"/>
      <c r="G72" s="2"/>
      <c r="H72" s="2"/>
      <c r="I72" s="2"/>
      <c r="J72" s="2"/>
    </row>
    <row r="73" spans="2:10" hidden="1" x14ac:dyDescent="0.25">
      <c r="B73" s="2"/>
      <c r="C73" s="2"/>
      <c r="D73" s="2"/>
      <c r="E73" s="2"/>
      <c r="F73" s="2"/>
      <c r="G73" s="2"/>
      <c r="H73" s="2"/>
      <c r="I73" s="2"/>
      <c r="J73" s="2"/>
    </row>
    <row r="74" spans="2:10" hidden="1" x14ac:dyDescent="0.25">
      <c r="B74" s="2"/>
      <c r="C74" s="2"/>
      <c r="D74" s="2"/>
      <c r="E74" s="2"/>
      <c r="F74" s="2"/>
      <c r="G74" s="2"/>
      <c r="H74" s="2"/>
      <c r="I74" s="2"/>
      <c r="J74" s="2"/>
    </row>
    <row r="75" spans="2:10" hidden="1" x14ac:dyDescent="0.25">
      <c r="B75" s="2"/>
      <c r="C75" s="2"/>
      <c r="D75" s="2"/>
      <c r="E75" s="2"/>
      <c r="F75" s="2"/>
      <c r="G75" s="2"/>
      <c r="H75" s="2"/>
      <c r="I75" s="2"/>
      <c r="J75" s="2"/>
    </row>
    <row r="76" spans="2:10" hidden="1" x14ac:dyDescent="0.25">
      <c r="B76" s="2"/>
      <c r="C76" s="2"/>
      <c r="D76" s="2"/>
      <c r="E76" s="2"/>
      <c r="F76" s="2"/>
      <c r="G76" s="2"/>
      <c r="H76" s="2"/>
      <c r="I76" s="2"/>
      <c r="J76" s="2"/>
    </row>
    <row r="77" spans="2:10" hidden="1" x14ac:dyDescent="0.25">
      <c r="B77" s="2"/>
      <c r="C77" s="2"/>
      <c r="D77" s="2"/>
      <c r="E77" s="2"/>
      <c r="F77" s="2"/>
      <c r="G77" s="2"/>
      <c r="H77" s="2"/>
      <c r="I77" s="2"/>
      <c r="J77" s="2"/>
    </row>
    <row r="78" spans="2:10" hidden="1" x14ac:dyDescent="0.25">
      <c r="B78" s="2"/>
      <c r="C78" s="2"/>
      <c r="D78" s="2"/>
      <c r="E78" s="2"/>
      <c r="F78" s="2"/>
      <c r="G78" s="2"/>
      <c r="H78" s="2"/>
      <c r="I78" s="2"/>
      <c r="J78" s="2"/>
    </row>
    <row r="79" spans="2:10" hidden="1" x14ac:dyDescent="0.25">
      <c r="B79" s="2"/>
      <c r="C79" s="2"/>
      <c r="D79" s="2"/>
      <c r="E79" s="2"/>
      <c r="F79" s="2"/>
      <c r="G79" s="2"/>
      <c r="H79" s="2"/>
      <c r="I79" s="2"/>
      <c r="J79" s="2"/>
    </row>
    <row r="80" spans="2:10" hidden="1" x14ac:dyDescent="0.25">
      <c r="B80" s="2"/>
      <c r="C80" s="2"/>
      <c r="D80" s="2"/>
      <c r="E80" s="2"/>
      <c r="F80" s="2"/>
      <c r="G80" s="2"/>
      <c r="H80" s="2"/>
      <c r="I80" s="2"/>
      <c r="J80" s="2"/>
    </row>
    <row r="81" spans="2:10" hidden="1" x14ac:dyDescent="0.25">
      <c r="B81" s="2"/>
      <c r="C81" s="2"/>
      <c r="D81" s="2"/>
      <c r="E81" s="2"/>
      <c r="F81" s="2"/>
      <c r="G81" s="2"/>
      <c r="H81" s="2"/>
      <c r="I81" s="2"/>
      <c r="J81" s="2"/>
    </row>
    <row r="82" spans="2:10" hidden="1" x14ac:dyDescent="0.25">
      <c r="B82" s="2"/>
      <c r="C82" s="2"/>
      <c r="D82" s="2"/>
      <c r="E82" s="2"/>
      <c r="F82" s="2"/>
      <c r="G82" s="2"/>
      <c r="H82" s="2"/>
      <c r="I82" s="2"/>
      <c r="J82" s="2"/>
    </row>
    <row r="83" spans="2:10" hidden="1" x14ac:dyDescent="0.25">
      <c r="B83" s="2"/>
      <c r="C83" s="2"/>
      <c r="D83" s="2"/>
      <c r="E83" s="2"/>
      <c r="F83" s="2"/>
      <c r="G83" s="2"/>
      <c r="H83" s="2"/>
      <c r="I83" s="2"/>
      <c r="J83" s="2"/>
    </row>
    <row r="84" spans="2:10" hidden="1" x14ac:dyDescent="0.25">
      <c r="B84" s="2"/>
      <c r="C84" s="2"/>
      <c r="D84" s="2"/>
      <c r="E84" s="2"/>
      <c r="F84" s="2"/>
      <c r="G84" s="2"/>
      <c r="H84" s="2"/>
      <c r="I84" s="2"/>
      <c r="J84" s="2"/>
    </row>
    <row r="85" spans="2:10" hidden="1" x14ac:dyDescent="0.25">
      <c r="B85" s="2"/>
      <c r="C85" s="2"/>
      <c r="D85" s="2"/>
      <c r="E85" s="2"/>
      <c r="F85" s="2"/>
      <c r="G85" s="2"/>
      <c r="H85" s="2"/>
      <c r="I85" s="2"/>
      <c r="J85" s="2"/>
    </row>
    <row r="86" spans="2:10" hidden="1" x14ac:dyDescent="0.25">
      <c r="B86" s="2"/>
      <c r="C86" s="2"/>
      <c r="D86" s="2"/>
      <c r="E86" s="2"/>
      <c r="F86" s="2"/>
      <c r="G86" s="2"/>
      <c r="H86" s="2"/>
      <c r="I86" s="2"/>
      <c r="J86" s="2"/>
    </row>
    <row r="87" spans="2:10" hidden="1" x14ac:dyDescent="0.25">
      <c r="B87" s="2"/>
      <c r="C87" s="2"/>
      <c r="D87" s="2"/>
      <c r="E87" s="2"/>
      <c r="F87" s="2"/>
      <c r="G87" s="2"/>
      <c r="H87" s="2"/>
      <c r="I87" s="2"/>
      <c r="J87" s="2"/>
    </row>
    <row r="88" spans="2:10" hidden="1" x14ac:dyDescent="0.25">
      <c r="B88" s="2"/>
      <c r="C88" s="2"/>
      <c r="D88" s="2"/>
      <c r="E88" s="2"/>
      <c r="F88" s="2"/>
      <c r="G88" s="2"/>
      <c r="H88" s="2"/>
      <c r="I88" s="2"/>
      <c r="J88" s="2"/>
    </row>
    <row r="89" spans="2:10" hidden="1" x14ac:dyDescent="0.25">
      <c r="B89" s="2"/>
      <c r="C89" s="2"/>
      <c r="D89" s="2"/>
      <c r="E89" s="2"/>
      <c r="F89" s="2"/>
      <c r="G89" s="2"/>
      <c r="H89" s="2"/>
      <c r="I89" s="2"/>
      <c r="J89" s="2"/>
    </row>
    <row r="90" spans="2:10" hidden="1" x14ac:dyDescent="0.25">
      <c r="B90" s="2"/>
      <c r="C90" s="2"/>
      <c r="D90" s="2"/>
      <c r="E90" s="2"/>
      <c r="F90" s="2"/>
      <c r="G90" s="2"/>
      <c r="H90" s="2"/>
      <c r="I90" s="2"/>
      <c r="J90" s="2"/>
    </row>
    <row r="91" spans="2:10" hidden="1" x14ac:dyDescent="0.25">
      <c r="B91" s="2"/>
      <c r="C91" s="2"/>
      <c r="D91" s="2"/>
      <c r="E91" s="2"/>
      <c r="F91" s="2"/>
      <c r="G91" s="2"/>
      <c r="H91" s="2"/>
      <c r="I91" s="2"/>
      <c r="J91" s="2"/>
    </row>
    <row r="92" spans="2:10" hidden="1" x14ac:dyDescent="0.25">
      <c r="B92" s="2"/>
      <c r="C92" s="2"/>
      <c r="D92" s="2"/>
      <c r="E92" s="2"/>
      <c r="F92" s="2"/>
      <c r="G92" s="2"/>
      <c r="H92" s="2"/>
      <c r="I92" s="2"/>
      <c r="J92" s="2"/>
    </row>
    <row r="93" spans="2:10" hidden="1" x14ac:dyDescent="0.25">
      <c r="B93" s="2"/>
      <c r="C93" s="2"/>
      <c r="D93" s="2"/>
      <c r="E93" s="2"/>
      <c r="F93" s="2"/>
      <c r="G93" s="2"/>
      <c r="H93" s="2"/>
      <c r="I93" s="2"/>
      <c r="J93" s="2"/>
    </row>
    <row r="94" spans="2:10" hidden="1" x14ac:dyDescent="0.25">
      <c r="B94" s="2"/>
      <c r="C94" s="2"/>
      <c r="D94" s="2"/>
      <c r="E94" s="2"/>
      <c r="F94" s="2"/>
      <c r="G94" s="2"/>
      <c r="H94" s="2"/>
      <c r="I94" s="2"/>
      <c r="J94" s="2"/>
    </row>
    <row r="95" spans="2:10" hidden="1" x14ac:dyDescent="0.25">
      <c r="B95" s="2"/>
      <c r="C95" s="2"/>
      <c r="D95" s="2"/>
      <c r="E95" s="2"/>
      <c r="F95" s="2"/>
      <c r="G95" s="2"/>
      <c r="H95" s="2"/>
      <c r="I95" s="2"/>
      <c r="J95" s="2"/>
    </row>
    <row r="96" spans="2:10" hidden="1" x14ac:dyDescent="0.25">
      <c r="B96" s="2"/>
      <c r="C96" s="2"/>
      <c r="D96" s="2"/>
      <c r="E96" s="2"/>
      <c r="F96" s="2"/>
      <c r="G96" s="2"/>
      <c r="H96" s="2"/>
      <c r="I96" s="2"/>
      <c r="J96" s="2"/>
    </row>
    <row r="97" spans="2:10" hidden="1" x14ac:dyDescent="0.25">
      <c r="B97" s="2"/>
      <c r="C97" s="2"/>
      <c r="D97" s="2"/>
      <c r="E97" s="2"/>
      <c r="F97" s="2"/>
      <c r="G97" s="2"/>
      <c r="H97" s="2"/>
      <c r="I97" s="2"/>
      <c r="J97" s="2"/>
    </row>
  </sheetData>
  <sheetProtection algorithmName="SHA-512" hashValue="sZVvo/XVDs8ai4XyoQn8v3zxxZerJflr8PlF5zOVwlw+uEM8pOxNCqoKIvMyDgXgIh/DyyvGFi21Jtjwfmdrgg==" saltValue="e7JvSHymgsJT3UEt9FdcxQ==" spinCount="100000" sheet="1" selectLockedCells="1"/>
  <mergeCells count="73">
    <mergeCell ref="B52:K55"/>
    <mergeCell ref="B51:K51"/>
    <mergeCell ref="C48:D48"/>
    <mergeCell ref="C17:D17"/>
    <mergeCell ref="B14:D14"/>
    <mergeCell ref="I21:J21"/>
    <mergeCell ref="B15:D15"/>
    <mergeCell ref="B16:D16"/>
    <mergeCell ref="F21:H21"/>
    <mergeCell ref="B21:E21"/>
    <mergeCell ref="F22:H22"/>
    <mergeCell ref="B44:D44"/>
    <mergeCell ref="B22:E22"/>
    <mergeCell ref="B37:E37"/>
    <mergeCell ref="B38:E39"/>
    <mergeCell ref="B35:D35"/>
    <mergeCell ref="B4:K4"/>
    <mergeCell ref="B12:D12"/>
    <mergeCell ref="B10:D10"/>
    <mergeCell ref="B13:D13"/>
    <mergeCell ref="E6:F6"/>
    <mergeCell ref="G6:K6"/>
    <mergeCell ref="H11:K17"/>
    <mergeCell ref="H10:K10"/>
    <mergeCell ref="G30:H30"/>
    <mergeCell ref="B45:D45"/>
    <mergeCell ref="B47:D47"/>
    <mergeCell ref="B46:D46"/>
    <mergeCell ref="B43:D43"/>
    <mergeCell ref="B28:D28"/>
    <mergeCell ref="F37:G37"/>
    <mergeCell ref="H40:I40"/>
    <mergeCell ref="E40:F40"/>
    <mergeCell ref="B42:D42"/>
    <mergeCell ref="I37:J37"/>
    <mergeCell ref="I38:J38"/>
    <mergeCell ref="I39:J39"/>
    <mergeCell ref="F38:G38"/>
    <mergeCell ref="F39:G39"/>
    <mergeCell ref="G42:K42"/>
    <mergeCell ref="F33:F34"/>
    <mergeCell ref="G33:H33"/>
    <mergeCell ref="B33:D34"/>
    <mergeCell ref="E33:E34"/>
    <mergeCell ref="G29:H29"/>
    <mergeCell ref="I22:J22"/>
    <mergeCell ref="D41:E41"/>
    <mergeCell ref="I41:K41"/>
    <mergeCell ref="I33:J33"/>
    <mergeCell ref="G28:H28"/>
    <mergeCell ref="B24:E25"/>
    <mergeCell ref="F24:F25"/>
    <mergeCell ref="K24:K25"/>
    <mergeCell ref="J24:J25"/>
    <mergeCell ref="G24:H25"/>
    <mergeCell ref="I24:I25"/>
    <mergeCell ref="G26:H26"/>
    <mergeCell ref="B26:E26"/>
    <mergeCell ref="K33:K34"/>
    <mergeCell ref="G31:H31"/>
    <mergeCell ref="B29:D31"/>
    <mergeCell ref="J48:K48"/>
    <mergeCell ref="G43:H43"/>
    <mergeCell ref="G44:H44"/>
    <mergeCell ref="G45:H45"/>
    <mergeCell ref="G46:H46"/>
    <mergeCell ref="G47:H47"/>
    <mergeCell ref="G48:H48"/>
    <mergeCell ref="J43:K43"/>
    <mergeCell ref="J44:K44"/>
    <mergeCell ref="J45:K45"/>
    <mergeCell ref="J46:K46"/>
    <mergeCell ref="J47:K47"/>
  </mergeCells>
  <conditionalFormatting sqref="G16:G17">
    <cfRule type="cellIs" dxfId="168" priority="44" operator="notBetween">
      <formula>0</formula>
      <formula>10</formula>
    </cfRule>
    <cfRule type="cellIs" dxfId="167" priority="45" operator="between">
      <formula>0</formula>
      <formula>10</formula>
    </cfRule>
  </conditionalFormatting>
  <conditionalFormatting sqref="G12:G17">
    <cfRule type="cellIs" dxfId="166" priority="43" operator="equal">
      <formula>"%"</formula>
    </cfRule>
  </conditionalFormatting>
  <conditionalFormatting sqref="G12:G17">
    <cfRule type="cellIs" dxfId="165" priority="48" operator="between">
      <formula>0</formula>
      <formula>5</formula>
    </cfRule>
    <cfRule type="cellIs" dxfId="164" priority="54" operator="notBetween">
      <formula>0</formula>
      <formula>5</formula>
    </cfRule>
  </conditionalFormatting>
  <conditionalFormatting sqref="I18">
    <cfRule type="iconSet" priority="27">
      <iconSet iconSet="3Symbols2">
        <cfvo type="percent" val="0"/>
        <cfvo type="num" val="4.5"/>
        <cfvo type="num" val="5.2"/>
      </iconSet>
    </cfRule>
  </conditionalFormatting>
  <conditionalFormatting sqref="K22">
    <cfRule type="cellIs" dxfId="163" priority="19" operator="equal">
      <formula>"%"</formula>
    </cfRule>
  </conditionalFormatting>
  <conditionalFormatting sqref="K22">
    <cfRule type="cellIs" dxfId="162" priority="20" operator="between">
      <formula>0</formula>
      <formula>5</formula>
    </cfRule>
    <cfRule type="cellIs" dxfId="161" priority="21" operator="notBetween">
      <formula>0</formula>
      <formula>5</formula>
    </cfRule>
  </conditionalFormatting>
  <conditionalFormatting sqref="K26">
    <cfRule type="cellIs" dxfId="160" priority="16" operator="equal">
      <formula>"%"</formula>
    </cfRule>
  </conditionalFormatting>
  <conditionalFormatting sqref="K26">
    <cfRule type="cellIs" dxfId="159" priority="17" operator="between">
      <formula>0</formula>
      <formula>5</formula>
    </cfRule>
    <cfRule type="cellIs" dxfId="158" priority="18" operator="notBetween">
      <formula>0</formula>
      <formula>5</formula>
    </cfRule>
  </conditionalFormatting>
  <conditionalFormatting sqref="K29:K31">
    <cfRule type="cellIs" dxfId="157" priority="13" operator="equal">
      <formula>"%"</formula>
    </cfRule>
  </conditionalFormatting>
  <conditionalFormatting sqref="K29:K31">
    <cfRule type="cellIs" dxfId="156" priority="14" operator="between">
      <formula>0</formula>
      <formula>5</formula>
    </cfRule>
    <cfRule type="cellIs" dxfId="155" priority="15" operator="notBetween">
      <formula>0</formula>
      <formula>5</formula>
    </cfRule>
  </conditionalFormatting>
  <conditionalFormatting sqref="K35">
    <cfRule type="cellIs" dxfId="154" priority="10" operator="equal">
      <formula>"%"</formula>
    </cfRule>
  </conditionalFormatting>
  <conditionalFormatting sqref="K35">
    <cfRule type="cellIs" dxfId="153" priority="11" operator="between">
      <formula>0</formula>
      <formula>5</formula>
    </cfRule>
    <cfRule type="cellIs" dxfId="152" priority="12" operator="notBetween">
      <formula>0</formula>
      <formula>5</formula>
    </cfRule>
  </conditionalFormatting>
  <conditionalFormatting sqref="K38:K39">
    <cfRule type="cellIs" dxfId="151" priority="7" operator="equal">
      <formula>"%"</formula>
    </cfRule>
  </conditionalFormatting>
  <conditionalFormatting sqref="K38:K39">
    <cfRule type="cellIs" dxfId="150" priority="8" operator="between">
      <formula>0</formula>
      <formula>10</formula>
    </cfRule>
    <cfRule type="cellIs" dxfId="149" priority="9" operator="notBetween">
      <formula>0</formula>
      <formula>10</formula>
    </cfRule>
  </conditionalFormatting>
  <conditionalFormatting sqref="J26">
    <cfRule type="cellIs" dxfId="148" priority="6" operator="greaterThanOrEqual">
      <formula>3</formula>
    </cfRule>
  </conditionalFormatting>
  <conditionalFormatting sqref="I41:K41">
    <cfRule type="expression" dxfId="147" priority="5">
      <formula>"$D$41=2"</formula>
    </cfRule>
  </conditionalFormatting>
  <conditionalFormatting sqref="G49">
    <cfRule type="expression" dxfId="146" priority="2">
      <formula>$D$49=2</formula>
    </cfRule>
    <cfRule type="expression" dxfId="145" priority="3">
      <formula>$D$49=1</formula>
    </cfRule>
  </conditionalFormatting>
  <dataValidations xWindow="727" yWindow="285" count="7">
    <dataValidation type="date" allowBlank="1" showInputMessage="1" showErrorMessage="1" errorTitle="Data Incorreta" error="Verifique a data inserida! " prompt="Por favor, digite a data de hoje ou anterior." sqref="G7" xr:uid="{00000000-0002-0000-0100-000000000000}">
      <formula1>32874</formula1>
      <formula2>TODAY()</formula2>
    </dataValidation>
    <dataValidation type="time" allowBlank="1" showInputMessage="1" showErrorMessage="1" errorTitle="Hora Incorreta" error="Por favor, digite uma hora válida._x000a_" sqref="I7" xr:uid="{00000000-0002-0000-0100-000001000000}">
      <formula1>0</formula1>
      <formula2>0.999305555555556</formula2>
    </dataValidation>
    <dataValidation type="decimal" errorStyle="warning" operator="greaterThanOrEqual" allowBlank="1" showErrorMessage="1" errorTitle="Valor " error="Considere trocar a bateria da sonda!" sqref="I18 G49" xr:uid="{00000000-0002-0000-0100-000002000000}">
      <formula1>4.7</formula1>
    </dataValidation>
    <dataValidation type="time" allowBlank="1" showInputMessage="1" showErrorMessage="1" errorTitle="Hora Inválida" error="Por favor, digite uma hora válida." sqref="K9 K20" xr:uid="{00000000-0002-0000-0100-000003000000}">
      <formula1>0</formula1>
      <formula2>0.999305555555556</formula2>
    </dataValidation>
    <dataValidation type="date" allowBlank="1" showInputMessage="1" showErrorMessage="1" errorTitle="Data Inválida" error="Por favor, insira uma data válida." sqref="F38:G39" xr:uid="{00000000-0002-0000-0100-000004000000}">
      <formula1>1</formula1>
      <formula2>TODAY()</formula2>
    </dataValidation>
    <dataValidation type="decimal" allowBlank="1" showInputMessage="1" showErrorMessage="1" errorTitle="ERRO" error="Por favor, digite um valor entre 0 e 760 mmHg." sqref="F35" xr:uid="{00000000-0002-0000-0100-000005000000}">
      <formula1>0</formula1>
      <formula2>760</formula2>
    </dataValidation>
    <dataValidation type="decimal" errorStyle="warning" operator="lessThan" allowBlank="1" showInputMessage="1" showErrorMessage="1" errorTitle="AVISO" error="Leitura no ar maior do que 3 uS/cm._x000a__x000a_Verifique se o sensor está limpo e seco. Se sim, considere trocá-lo. " sqref="J26" xr:uid="{00000000-0002-0000-0100-000006000000}">
      <formula1>3</formula1>
    </dataValidation>
  </dataValidations>
  <pageMargins left="0.62992125984251968" right="0.23622047244094491" top="0.7480314960629921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Group Box 22">
              <controlPr defaultSize="0" autoFill="0" autoPict="0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Group Box 23">
              <controlPr defaultSize="0" autoFill="0" autoPict="0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Group Box 24">
              <controlPr defaultSize="0" autoFill="0" autoPict="0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Group Box 25">
              <controlPr defaultSize="0" autoFill="0" autoPict="0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Group Box 26">
              <controlPr defaultSize="0" autoFill="0" autoPict="0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Group Box 27">
              <controlPr defaultSize="0" autoFill="0" autoPict="0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9525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0" name="Group Box 28">
              <controlPr defaultSize="0" autoFill="0" autoPict="0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9525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1" name="Group Box 29">
              <controlPr defaultSize="0" autoFill="0" autoPict="0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9525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2" name="Group Box 30">
              <controlPr defaultSize="0" autoFill="0" autoPict="0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9525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3" name="Group Box 31">
              <controlPr defaultSize="0" autoFill="0" autoPict="0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9525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4" name="Group Box 32">
              <controlPr defaultSize="0" autoFill="0" autoPict="0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9525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5" name="Option Button 34">
              <controlPr defaultSize="0" autoFill="0" autoLine="0" autoPict="0" altText="S">
                <anchor moveWithCells="1">
                  <from>
                    <xdr:col>4</xdr:col>
                    <xdr:colOff>19050</xdr:colOff>
                    <xdr:row>43</xdr:row>
                    <xdr:rowOff>0</xdr:rowOff>
                  </from>
                  <to>
                    <xdr:col>4</xdr:col>
                    <xdr:colOff>352425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Option Button 35">
              <controlPr defaultSize="0" autoFill="0" autoLine="0" autoPict="0">
                <anchor moveWithCells="1">
                  <from>
                    <xdr:col>4</xdr:col>
                    <xdr:colOff>371475</xdr:colOff>
                    <xdr:row>43</xdr:row>
                    <xdr:rowOff>9525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Option Button 36">
              <controlPr defaultSize="0" autoFill="0" autoLine="0" autoPict="0" altText="S">
                <anchor moveWithCells="1">
                  <from>
                    <xdr:col>4</xdr:col>
                    <xdr:colOff>19050</xdr:colOff>
                    <xdr:row>44</xdr:row>
                    <xdr:rowOff>0</xdr:rowOff>
                  </from>
                  <to>
                    <xdr:col>4</xdr:col>
                    <xdr:colOff>352425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Option Button 37">
              <controlPr defaultSize="0" autoFill="0" autoLine="0" autoPict="0">
                <anchor moveWithCells="1">
                  <from>
                    <xdr:col>4</xdr:col>
                    <xdr:colOff>371475</xdr:colOff>
                    <xdr:row>44</xdr:row>
                    <xdr:rowOff>0</xdr:rowOff>
                  </from>
                  <to>
                    <xdr:col>5</xdr:col>
                    <xdr:colOff>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Option Button 38">
              <controlPr defaultSize="0" autoFill="0" autoLine="0" autoPict="0" altText="S">
                <anchor moveWithCells="1">
                  <from>
                    <xdr:col>4</xdr:col>
                    <xdr:colOff>19050</xdr:colOff>
                    <xdr:row>45</xdr:row>
                    <xdr:rowOff>0</xdr:rowOff>
                  </from>
                  <to>
                    <xdr:col>4</xdr:col>
                    <xdr:colOff>352425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Option Button 39">
              <controlPr defaultSize="0" autoFill="0" autoLine="0" autoPict="0">
                <anchor moveWithCells="1">
                  <from>
                    <xdr:col>4</xdr:col>
                    <xdr:colOff>371475</xdr:colOff>
                    <xdr:row>45</xdr:row>
                    <xdr:rowOff>0</xdr:rowOff>
                  </from>
                  <to>
                    <xdr:col>5</xdr:col>
                    <xdr:colOff>0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Option Button 40">
              <controlPr defaultSize="0" autoFill="0" autoLine="0" autoPict="0" altText="S">
                <anchor moveWithCells="1">
                  <from>
                    <xdr:col>4</xdr:col>
                    <xdr:colOff>19050</xdr:colOff>
                    <xdr:row>46</xdr:row>
                    <xdr:rowOff>0</xdr:rowOff>
                  </from>
                  <to>
                    <xdr:col>4</xdr:col>
                    <xdr:colOff>352425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Option Button 41">
              <controlPr defaultSize="0" autoFill="0" autoLine="0" autoPict="0">
                <anchor moveWithCells="1">
                  <from>
                    <xdr:col>4</xdr:col>
                    <xdr:colOff>371475</xdr:colOff>
                    <xdr:row>46</xdr:row>
                    <xdr:rowOff>0</xdr:rowOff>
                  </from>
                  <to>
                    <xdr:col>5</xdr:col>
                    <xdr:colOff>0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Option Button 42">
              <controlPr defaultSize="0" autoFill="0" autoLine="0" autoPict="0" altText="S">
                <anchor moveWithCells="1">
                  <from>
                    <xdr:col>4</xdr:col>
                    <xdr:colOff>19050</xdr:colOff>
                    <xdr:row>47</xdr:row>
                    <xdr:rowOff>0</xdr:rowOff>
                  </from>
                  <to>
                    <xdr:col>4</xdr:col>
                    <xdr:colOff>352425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Option Button 43">
              <controlPr defaultSize="0" autoFill="0" autoLine="0" autoPict="0">
                <anchor moveWithCells="1">
                  <from>
                    <xdr:col>4</xdr:col>
                    <xdr:colOff>371475</xdr:colOff>
                    <xdr:row>47</xdr:row>
                    <xdr:rowOff>0</xdr:rowOff>
                  </from>
                  <to>
                    <xdr:col>5</xdr:col>
                    <xdr:colOff>0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Option Button 44">
              <controlPr defaultSize="0" autoFill="0" autoLine="0" autoPict="0" altText="S">
                <anchor moveWithCells="1">
                  <from>
                    <xdr:col>5</xdr:col>
                    <xdr:colOff>38100</xdr:colOff>
                    <xdr:row>42</xdr:row>
                    <xdr:rowOff>0</xdr:rowOff>
                  </from>
                  <to>
                    <xdr:col>5</xdr:col>
                    <xdr:colOff>371475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Option Button 45">
              <controlPr defaultSize="0" autoFill="0" autoLine="0" autoPict="0">
                <anchor moveWithCells="1">
                  <from>
                    <xdr:col>5</xdr:col>
                    <xdr:colOff>371475</xdr:colOff>
                    <xdr:row>42</xdr:row>
                    <xdr:rowOff>0</xdr:rowOff>
                  </from>
                  <to>
                    <xdr:col>5</xdr:col>
                    <xdr:colOff>723900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Option Button 46">
              <controlPr defaultSize="0" autoFill="0" autoLine="0" autoPict="0" altText="S">
                <anchor moveWithCells="1">
                  <from>
                    <xdr:col>5</xdr:col>
                    <xdr:colOff>38100</xdr:colOff>
                    <xdr:row>43</xdr:row>
                    <xdr:rowOff>0</xdr:rowOff>
                  </from>
                  <to>
                    <xdr:col>5</xdr:col>
                    <xdr:colOff>371475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Option Button 47">
              <controlPr defaultSize="0" autoFill="0" autoLine="0" autoPict="0">
                <anchor moveWithCells="1">
                  <from>
                    <xdr:col>5</xdr:col>
                    <xdr:colOff>371475</xdr:colOff>
                    <xdr:row>43</xdr:row>
                    <xdr:rowOff>0</xdr:rowOff>
                  </from>
                  <to>
                    <xdr:col>5</xdr:col>
                    <xdr:colOff>723900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Option Button 48">
              <controlPr defaultSize="0" autoFill="0" autoLine="0" autoPict="0" altText="S">
                <anchor moveWithCells="1">
                  <from>
                    <xdr:col>5</xdr:col>
                    <xdr:colOff>38100</xdr:colOff>
                    <xdr:row>44</xdr:row>
                    <xdr:rowOff>0</xdr:rowOff>
                  </from>
                  <to>
                    <xdr:col>5</xdr:col>
                    <xdr:colOff>371475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Option Button 49">
              <controlPr defaultSize="0" autoFill="0" autoLine="0" autoPict="0">
                <anchor moveWithCells="1">
                  <from>
                    <xdr:col>5</xdr:col>
                    <xdr:colOff>371475</xdr:colOff>
                    <xdr:row>44</xdr:row>
                    <xdr:rowOff>0</xdr:rowOff>
                  </from>
                  <to>
                    <xdr:col>5</xdr:col>
                    <xdr:colOff>723900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1" name="Group Box 56">
              <controlPr defaultSize="0" autoFill="0" autoPict="0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9525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2" name="Option Button 57">
              <controlPr defaultSize="0" autoFill="0" autoLine="0" autoPict="0" altText="S">
                <anchor moveWithCells="1">
                  <from>
                    <xdr:col>5</xdr:col>
                    <xdr:colOff>38100</xdr:colOff>
                    <xdr:row>45</xdr:row>
                    <xdr:rowOff>0</xdr:rowOff>
                  </from>
                  <to>
                    <xdr:col>5</xdr:col>
                    <xdr:colOff>371475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3" name="Option Button 58">
              <controlPr defaultSize="0" autoFill="0" autoLine="0" autoPict="0">
                <anchor moveWithCells="1">
                  <from>
                    <xdr:col>5</xdr:col>
                    <xdr:colOff>371475</xdr:colOff>
                    <xdr:row>45</xdr:row>
                    <xdr:rowOff>0</xdr:rowOff>
                  </from>
                  <to>
                    <xdr:col>5</xdr:col>
                    <xdr:colOff>723900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4" name="Option Button 59">
              <controlPr defaultSize="0" autoFill="0" autoLine="0" autoPict="0" altText="S">
                <anchor moveWithCells="1">
                  <from>
                    <xdr:col>5</xdr:col>
                    <xdr:colOff>38100</xdr:colOff>
                    <xdr:row>46</xdr:row>
                    <xdr:rowOff>0</xdr:rowOff>
                  </from>
                  <to>
                    <xdr:col>5</xdr:col>
                    <xdr:colOff>371475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35" name="Option Button 60">
              <controlPr defaultSize="0" autoFill="0" autoLine="0" autoPict="0">
                <anchor moveWithCells="1">
                  <from>
                    <xdr:col>5</xdr:col>
                    <xdr:colOff>371475</xdr:colOff>
                    <xdr:row>46</xdr:row>
                    <xdr:rowOff>0</xdr:rowOff>
                  </from>
                  <to>
                    <xdr:col>5</xdr:col>
                    <xdr:colOff>723900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36" name="Option Button 61">
              <controlPr defaultSize="0" autoFill="0" autoLine="0" autoPict="0" altText="S">
                <anchor moveWithCells="1">
                  <from>
                    <xdr:col>5</xdr:col>
                    <xdr:colOff>38100</xdr:colOff>
                    <xdr:row>47</xdr:row>
                    <xdr:rowOff>0</xdr:rowOff>
                  </from>
                  <to>
                    <xdr:col>5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37" name="Option Button 62">
              <controlPr defaultSize="0" autoFill="0" autoLine="0" autoPict="0">
                <anchor moveWithCells="1">
                  <from>
                    <xdr:col>5</xdr:col>
                    <xdr:colOff>371475</xdr:colOff>
                    <xdr:row>47</xdr:row>
                    <xdr:rowOff>0</xdr:rowOff>
                  </from>
                  <to>
                    <xdr:col>5</xdr:col>
                    <xdr:colOff>723900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38" name="Group Box 70">
              <controlPr defaultSize="0" autoFill="0" autoPict="0">
                <anchor mov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10</xdr:col>
                    <xdr:colOff>838200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39" name="Group Box 76">
              <controlPr defaultSize="0" autoFill="0" autoPict="0">
                <anchor moveWithCells="1">
                  <from>
                    <xdr:col>1</xdr:col>
                    <xdr:colOff>0</xdr:colOff>
                    <xdr:row>48</xdr:row>
                    <xdr:rowOff>0</xdr:rowOff>
                  </from>
                  <to>
                    <xdr:col>10</xdr:col>
                    <xdr:colOff>847725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40" name="Option Button 80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57150</xdr:rowOff>
                  </from>
                  <to>
                    <xdr:col>3</xdr:col>
                    <xdr:colOff>361950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41" name="Option Button 81">
              <controlPr defaultSize="0" autoFill="0" autoLine="0" autoPict="0">
                <anchor moveWithCells="1">
                  <from>
                    <xdr:col>4</xdr:col>
                    <xdr:colOff>28575</xdr:colOff>
                    <xdr:row>40</xdr:row>
                    <xdr:rowOff>28575</xdr:rowOff>
                  </from>
                  <to>
                    <xdr:col>4</xdr:col>
                    <xdr:colOff>342900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42" name="Group Box 82">
              <controlPr defaultSize="0" autoFill="0" autoPict="0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43" name="Option Button 85">
              <controlPr defaultSize="0" autoFill="0" autoLine="0" autoPict="0" altText="S">
                <anchor moveWithCells="1">
                  <from>
                    <xdr:col>4</xdr:col>
                    <xdr:colOff>19050</xdr:colOff>
                    <xdr:row>42</xdr:row>
                    <xdr:rowOff>0</xdr:rowOff>
                  </from>
                  <to>
                    <xdr:col>4</xdr:col>
                    <xdr:colOff>352425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44" name="Option Button 86">
              <controlPr defaultSize="0" autoFill="0" autoLine="0" autoPict="0">
                <anchor moveWithCells="1">
                  <from>
                    <xdr:col>4</xdr:col>
                    <xdr:colOff>371475</xdr:colOff>
                    <xdr:row>42</xdr:row>
                    <xdr:rowOff>9525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45" name="Option Button 89">
              <controlPr defaultSize="0" autoFill="0" autoLine="0" autoPict="0">
                <anchor moveWithCells="1">
                  <from>
                    <xdr:col>3</xdr:col>
                    <xdr:colOff>66675</xdr:colOff>
                    <xdr:row>48</xdr:row>
                    <xdr:rowOff>38100</xdr:rowOff>
                  </from>
                  <to>
                    <xdr:col>3</xdr:col>
                    <xdr:colOff>371475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6" name="Option Button 90">
              <controlPr defaultSize="0" autoFill="0" autoLine="0" autoPict="0">
                <anchor moveWithCells="1">
                  <from>
                    <xdr:col>3</xdr:col>
                    <xdr:colOff>504825</xdr:colOff>
                    <xdr:row>48</xdr:row>
                    <xdr:rowOff>38100</xdr:rowOff>
                  </from>
                  <to>
                    <xdr:col>4</xdr:col>
                    <xdr:colOff>266700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47" name="Button 99">
              <controlPr defaultSize="0" print="0" autoFill="0" autoPict="0" macro="[0]!BotãoVoltar">
                <anchor moveWithCells="1" sizeWithCells="1">
                  <from>
                    <xdr:col>0</xdr:col>
                    <xdr:colOff>76200</xdr:colOff>
                    <xdr:row>55</xdr:row>
                    <xdr:rowOff>171450</xdr:rowOff>
                  </from>
                  <to>
                    <xdr:col>2</xdr:col>
                    <xdr:colOff>180975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48" name="Button 100">
              <controlPr defaultSize="0" print="0" autoFill="0" autoPict="0" macro="[0]!SalvarFichaVisita">
                <anchor moveWithCells="1" sizeWithCells="1">
                  <from>
                    <xdr:col>10</xdr:col>
                    <xdr:colOff>28575</xdr:colOff>
                    <xdr:row>55</xdr:row>
                    <xdr:rowOff>171450</xdr:rowOff>
                  </from>
                  <to>
                    <xdr:col>10</xdr:col>
                    <xdr:colOff>828675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727" yWindow="285" count="5">
        <x14:dataValidation type="list" showInputMessage="1" showErrorMessage="1" error="Escolha um dos códigos da lista." xr:uid="{00000000-0002-0000-0100-000007000000}">
          <x14:formula1>
            <xm:f>Listas!$B$3:$B$21</xm:f>
          </x14:formula1>
          <xm:sqref>D6</xm:sqref>
        </x14:dataValidation>
        <x14:dataValidation type="list" allowBlank="1" showInputMessage="1" showErrorMessage="1" error="Escolha um dos nomes da lista." xr:uid="{00000000-0002-0000-0100-000008000000}">
          <x14:formula1>
            <xm:f>Listas!$F$3:$F$11</xm:f>
          </x14:formula1>
          <xm:sqref>C7 E7</xm:sqref>
        </x14:dataValidation>
        <x14:dataValidation type="list" allowBlank="1" showInputMessage="1" showErrorMessage="1" xr:uid="{00000000-0002-0000-0100-000009000000}">
          <x14:formula1>
            <xm:f>Listas!I:I</xm:f>
          </x14:formula1>
          <xm:sqref>E11</xm:sqref>
        </x14:dataValidation>
        <x14:dataValidation type="list" allowBlank="1" showInputMessage="1" showErrorMessage="1" xr:uid="{00000000-0002-0000-0100-00000A000000}">
          <x14:formula1>
            <xm:f>Listas!I:I</xm:f>
          </x14:formula1>
          <xm:sqref>F11</xm:sqref>
        </x14:dataValidation>
        <x14:dataValidation type="list" allowBlank="1" showInputMessage="1" showErrorMessage="1" xr:uid="{00000000-0002-0000-0100-00000B000000}">
          <x14:formula1>
            <xm:f>Listas!I:I</xm:f>
          </x14:formula1>
          <xm:sqref>I41:K41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W50"/>
  <sheetViews>
    <sheetView workbookViewId="0">
      <selection activeCell="F3" sqref="F3:F10"/>
    </sheetView>
  </sheetViews>
  <sheetFormatPr defaultRowHeight="15" x14ac:dyDescent="0.25"/>
  <cols>
    <col min="1" max="1" width="2.7109375" customWidth="1"/>
    <col min="2" max="2" width="11.7109375" customWidth="1"/>
    <col min="3" max="3" width="20.7109375" customWidth="1"/>
    <col min="4" max="4" width="2.7109375" customWidth="1"/>
    <col min="5" max="5" width="12.85546875" customWidth="1"/>
    <col min="6" max="6" width="11" customWidth="1"/>
    <col min="7" max="7" width="2.7109375" customWidth="1"/>
    <col min="8" max="8" width="18.42578125" customWidth="1"/>
    <col min="9" max="9" width="17.42578125" customWidth="1"/>
    <col min="10" max="10" width="2.7109375" customWidth="1"/>
    <col min="11" max="11" width="13.7109375" customWidth="1"/>
    <col min="12" max="12" width="2.7109375" customWidth="1"/>
    <col min="13" max="13" width="12" customWidth="1"/>
    <col min="14" max="14" width="2.7109375" customWidth="1"/>
    <col min="15" max="15" width="12.42578125" customWidth="1"/>
    <col min="16" max="16" width="2.7109375" customWidth="1"/>
    <col min="17" max="17" width="23" customWidth="1"/>
    <col min="18" max="18" width="2.7109375" customWidth="1"/>
    <col min="19" max="19" width="17.42578125" customWidth="1"/>
    <col min="20" max="20" width="2.7109375" customWidth="1"/>
    <col min="21" max="21" width="17" customWidth="1"/>
    <col min="22" max="22" width="2.7109375" customWidth="1"/>
    <col min="23" max="23" width="18.42578125" customWidth="1"/>
  </cols>
  <sheetData>
    <row r="2" spans="2:23" x14ac:dyDescent="0.25">
      <c r="B2" s="7" t="s">
        <v>38</v>
      </c>
      <c r="C2" s="8" t="s">
        <v>39</v>
      </c>
      <c r="D2" s="9"/>
      <c r="E2" s="8" t="s">
        <v>52</v>
      </c>
      <c r="F2" s="8" t="s">
        <v>53</v>
      </c>
      <c r="G2" s="9"/>
      <c r="H2" s="10" t="s">
        <v>40</v>
      </c>
      <c r="I2" s="10" t="s">
        <v>41</v>
      </c>
      <c r="K2" t="s">
        <v>64</v>
      </c>
      <c r="M2" t="s">
        <v>74</v>
      </c>
      <c r="O2" t="s">
        <v>71</v>
      </c>
      <c r="Q2" t="s">
        <v>73</v>
      </c>
      <c r="S2" t="s">
        <v>72</v>
      </c>
      <c r="U2" t="s">
        <v>75</v>
      </c>
      <c r="W2" t="s">
        <v>76</v>
      </c>
    </row>
    <row r="3" spans="2:23" x14ac:dyDescent="0.25">
      <c r="B3" s="11" t="s">
        <v>320</v>
      </c>
      <c r="C3" s="12" t="s">
        <v>339</v>
      </c>
      <c r="D3" s="9"/>
      <c r="E3" s="143">
        <v>1</v>
      </c>
      <c r="F3" s="12" t="s">
        <v>314</v>
      </c>
      <c r="G3" s="9"/>
      <c r="H3" s="13" t="s">
        <v>218</v>
      </c>
      <c r="I3" s="13" t="s">
        <v>266</v>
      </c>
      <c r="K3" t="s">
        <v>65</v>
      </c>
      <c r="M3" t="s">
        <v>70</v>
      </c>
      <c r="O3" t="s">
        <v>176</v>
      </c>
      <c r="Q3" t="s">
        <v>176</v>
      </c>
      <c r="S3" t="s">
        <v>176</v>
      </c>
      <c r="U3" t="s">
        <v>176</v>
      </c>
      <c r="W3" t="s">
        <v>177</v>
      </c>
    </row>
    <row r="4" spans="2:23" x14ac:dyDescent="0.25">
      <c r="B4" s="11" t="s">
        <v>321</v>
      </c>
      <c r="C4" s="12" t="s">
        <v>340</v>
      </c>
      <c r="D4" s="9"/>
      <c r="E4" s="143">
        <v>2</v>
      </c>
      <c r="F4" s="12" t="s">
        <v>315</v>
      </c>
      <c r="G4" s="9"/>
      <c r="H4" s="13" t="s">
        <v>219</v>
      </c>
      <c r="I4" s="13" t="s">
        <v>267</v>
      </c>
      <c r="K4" t="s">
        <v>66</v>
      </c>
    </row>
    <row r="5" spans="2:23" x14ac:dyDescent="0.25">
      <c r="B5" s="11" t="s">
        <v>322</v>
      </c>
      <c r="C5" s="12" t="s">
        <v>341</v>
      </c>
      <c r="D5" s="9"/>
      <c r="E5" s="143">
        <v>3</v>
      </c>
      <c r="F5" s="12" t="s">
        <v>316</v>
      </c>
      <c r="G5" s="9"/>
      <c r="H5" s="13" t="s">
        <v>220</v>
      </c>
      <c r="I5" s="13" t="s">
        <v>268</v>
      </c>
    </row>
    <row r="6" spans="2:23" x14ac:dyDescent="0.25">
      <c r="B6" s="11" t="s">
        <v>323</v>
      </c>
      <c r="C6" s="12" t="s">
        <v>342</v>
      </c>
      <c r="D6" s="9"/>
      <c r="E6" s="143">
        <v>4</v>
      </c>
      <c r="F6" s="12" t="s">
        <v>317</v>
      </c>
      <c r="G6" s="9"/>
      <c r="H6" s="13" t="s">
        <v>221</v>
      </c>
      <c r="I6" s="13" t="s">
        <v>269</v>
      </c>
    </row>
    <row r="7" spans="2:23" x14ac:dyDescent="0.25">
      <c r="B7" s="11" t="s">
        <v>324</v>
      </c>
      <c r="C7" s="12" t="s">
        <v>343</v>
      </c>
      <c r="D7" s="9"/>
      <c r="E7" s="143">
        <v>5</v>
      </c>
      <c r="F7" s="12" t="s">
        <v>318</v>
      </c>
      <c r="G7" s="9"/>
      <c r="H7" s="13" t="s">
        <v>222</v>
      </c>
      <c r="I7" s="13" t="s">
        <v>270</v>
      </c>
    </row>
    <row r="8" spans="2:23" x14ac:dyDescent="0.25">
      <c r="B8" s="11" t="s">
        <v>325</v>
      </c>
      <c r="C8" s="12" t="s">
        <v>344</v>
      </c>
      <c r="D8" s="9"/>
      <c r="E8" s="143">
        <v>6</v>
      </c>
      <c r="F8" s="12" t="s">
        <v>55</v>
      </c>
      <c r="G8" s="9"/>
      <c r="H8" s="13" t="s">
        <v>223</v>
      </c>
      <c r="I8" s="13" t="s">
        <v>271</v>
      </c>
    </row>
    <row r="9" spans="2:23" x14ac:dyDescent="0.25">
      <c r="B9" s="11" t="s">
        <v>326</v>
      </c>
      <c r="C9" s="12" t="s">
        <v>345</v>
      </c>
      <c r="D9" s="9"/>
      <c r="E9" s="143">
        <v>7</v>
      </c>
      <c r="F9" s="12" t="s">
        <v>54</v>
      </c>
      <c r="G9" s="9"/>
      <c r="H9" s="13" t="s">
        <v>224</v>
      </c>
      <c r="I9" s="13" t="s">
        <v>272</v>
      </c>
    </row>
    <row r="10" spans="2:23" x14ac:dyDescent="0.25">
      <c r="B10" s="11" t="s">
        <v>327</v>
      </c>
      <c r="C10" s="12" t="s">
        <v>346</v>
      </c>
      <c r="D10" s="9"/>
      <c r="E10" s="143">
        <v>8</v>
      </c>
      <c r="F10" s="12" t="s">
        <v>319</v>
      </c>
      <c r="G10" s="9"/>
      <c r="H10" s="13" t="s">
        <v>225</v>
      </c>
      <c r="I10" s="13" t="s">
        <v>273</v>
      </c>
    </row>
    <row r="11" spans="2:23" x14ac:dyDescent="0.25">
      <c r="B11" s="11" t="s">
        <v>328</v>
      </c>
      <c r="C11" s="12" t="s">
        <v>347</v>
      </c>
      <c r="D11" s="9"/>
      <c r="E11" s="9"/>
      <c r="F11" s="9"/>
      <c r="G11" s="9"/>
      <c r="H11" s="13" t="s">
        <v>226</v>
      </c>
      <c r="I11" s="13" t="s">
        <v>274</v>
      </c>
    </row>
    <row r="12" spans="2:23" x14ac:dyDescent="0.25">
      <c r="B12" s="11" t="s">
        <v>329</v>
      </c>
      <c r="C12" s="12" t="s">
        <v>348</v>
      </c>
      <c r="D12" s="9"/>
      <c r="E12" s="9"/>
      <c r="F12" s="9"/>
      <c r="G12" s="9"/>
      <c r="H12" s="13" t="s">
        <v>227</v>
      </c>
      <c r="I12" s="13" t="s">
        <v>275</v>
      </c>
    </row>
    <row r="13" spans="2:23" x14ac:dyDescent="0.25">
      <c r="B13" s="11" t="s">
        <v>330</v>
      </c>
      <c r="C13" s="12" t="s">
        <v>349</v>
      </c>
      <c r="D13" s="9"/>
      <c r="E13" s="9"/>
      <c r="F13" s="9"/>
      <c r="G13" s="9"/>
      <c r="H13" s="13" t="s">
        <v>228</v>
      </c>
      <c r="I13" s="13" t="s">
        <v>276</v>
      </c>
    </row>
    <row r="14" spans="2:23" x14ac:dyDescent="0.25">
      <c r="B14" s="11" t="s">
        <v>331</v>
      </c>
      <c r="C14" s="12" t="s">
        <v>350</v>
      </c>
      <c r="D14" s="9"/>
      <c r="E14" s="9"/>
      <c r="F14" s="9"/>
      <c r="G14" s="9"/>
      <c r="H14" s="13" t="s">
        <v>229</v>
      </c>
      <c r="I14" s="13" t="s">
        <v>277</v>
      </c>
    </row>
    <row r="15" spans="2:23" x14ac:dyDescent="0.25">
      <c r="B15" s="11" t="s">
        <v>332</v>
      </c>
      <c r="C15" s="12" t="s">
        <v>351</v>
      </c>
      <c r="D15" s="9"/>
      <c r="E15" s="9"/>
      <c r="F15" s="9"/>
      <c r="G15" s="9"/>
      <c r="H15" s="13" t="s">
        <v>230</v>
      </c>
      <c r="I15" s="13" t="s">
        <v>278</v>
      </c>
    </row>
    <row r="16" spans="2:23" x14ac:dyDescent="0.25">
      <c r="B16" s="11" t="s">
        <v>333</v>
      </c>
      <c r="C16" s="12" t="s">
        <v>352</v>
      </c>
      <c r="D16" s="9"/>
      <c r="E16" s="9"/>
      <c r="F16" s="9"/>
      <c r="G16" s="9"/>
      <c r="H16" s="13" t="s">
        <v>231</v>
      </c>
      <c r="I16" s="13" t="s">
        <v>279</v>
      </c>
    </row>
    <row r="17" spans="2:9" x14ac:dyDescent="0.25">
      <c r="B17" s="11" t="s">
        <v>334</v>
      </c>
      <c r="C17" s="12" t="s">
        <v>353</v>
      </c>
      <c r="D17" s="9"/>
      <c r="E17" s="9"/>
      <c r="F17" s="9"/>
      <c r="G17" s="9"/>
      <c r="H17" s="13" t="s">
        <v>232</v>
      </c>
      <c r="I17" s="13" t="s">
        <v>280</v>
      </c>
    </row>
    <row r="18" spans="2:9" x14ac:dyDescent="0.25">
      <c r="B18" s="11" t="s">
        <v>335</v>
      </c>
      <c r="C18" s="12" t="s">
        <v>354</v>
      </c>
      <c r="D18" s="9"/>
      <c r="E18" s="9"/>
      <c r="F18" s="9"/>
      <c r="G18" s="9"/>
      <c r="H18" s="13" t="s">
        <v>233</v>
      </c>
      <c r="I18" s="13" t="s">
        <v>281</v>
      </c>
    </row>
    <row r="19" spans="2:9" x14ac:dyDescent="0.25">
      <c r="B19" s="11" t="s">
        <v>336</v>
      </c>
      <c r="C19" s="12" t="s">
        <v>355</v>
      </c>
      <c r="D19" s="9"/>
      <c r="E19" s="9"/>
      <c r="F19" s="9"/>
      <c r="G19" s="9"/>
      <c r="H19" s="13" t="s">
        <v>234</v>
      </c>
      <c r="I19" s="13" t="s">
        <v>282</v>
      </c>
    </row>
    <row r="20" spans="2:9" x14ac:dyDescent="0.25">
      <c r="B20" s="11" t="s">
        <v>337</v>
      </c>
      <c r="C20" s="12" t="s">
        <v>356</v>
      </c>
      <c r="D20" s="9"/>
      <c r="E20" s="9"/>
      <c r="F20" s="9"/>
      <c r="G20" s="9"/>
      <c r="H20" s="13" t="s">
        <v>235</v>
      </c>
      <c r="I20" s="13" t="s">
        <v>283</v>
      </c>
    </row>
    <row r="21" spans="2:9" x14ac:dyDescent="0.25">
      <c r="B21" s="11" t="s">
        <v>338</v>
      </c>
      <c r="C21" s="12" t="s">
        <v>357</v>
      </c>
      <c r="D21" s="9"/>
      <c r="E21" s="9"/>
      <c r="F21" s="9"/>
      <c r="G21" s="9"/>
      <c r="H21" s="13" t="s">
        <v>236</v>
      </c>
      <c r="I21" s="13" t="s">
        <v>284</v>
      </c>
    </row>
    <row r="22" spans="2:9" x14ac:dyDescent="0.25">
      <c r="B22" s="9"/>
      <c r="C22" s="9"/>
      <c r="D22" s="9"/>
      <c r="E22" s="9"/>
      <c r="F22" s="9"/>
      <c r="G22" s="9"/>
      <c r="H22" s="13" t="s">
        <v>237</v>
      </c>
      <c r="I22" s="13" t="s">
        <v>285</v>
      </c>
    </row>
    <row r="23" spans="2:9" x14ac:dyDescent="0.25">
      <c r="B23" s="9"/>
      <c r="C23" s="9"/>
      <c r="D23" s="9"/>
      <c r="E23" s="9"/>
      <c r="F23" s="9"/>
      <c r="G23" s="9"/>
      <c r="H23" s="13" t="s">
        <v>238</v>
      </c>
      <c r="I23" s="13" t="s">
        <v>286</v>
      </c>
    </row>
    <row r="24" spans="2:9" x14ac:dyDescent="0.25">
      <c r="B24" s="9"/>
      <c r="C24" s="9"/>
      <c r="D24" s="9"/>
      <c r="E24" s="9"/>
      <c r="F24" s="9"/>
      <c r="G24" s="9"/>
      <c r="H24" s="13" t="s">
        <v>239</v>
      </c>
      <c r="I24" s="13" t="s">
        <v>287</v>
      </c>
    </row>
    <row r="25" spans="2:9" x14ac:dyDescent="0.25">
      <c r="B25" s="9"/>
      <c r="C25" s="9"/>
      <c r="D25" s="9"/>
      <c r="E25" s="9"/>
      <c r="F25" s="9"/>
      <c r="G25" s="9"/>
      <c r="H25" s="13" t="s">
        <v>240</v>
      </c>
      <c r="I25" s="13" t="s">
        <v>288</v>
      </c>
    </row>
    <row r="26" spans="2:9" x14ac:dyDescent="0.25">
      <c r="B26" s="9"/>
      <c r="C26" s="9"/>
      <c r="D26" s="9"/>
      <c r="E26" s="9"/>
      <c r="F26" s="9"/>
      <c r="G26" s="9"/>
      <c r="H26" s="13" t="s">
        <v>241</v>
      </c>
      <c r="I26" s="13" t="s">
        <v>289</v>
      </c>
    </row>
    <row r="27" spans="2:9" x14ac:dyDescent="0.25">
      <c r="B27" s="9"/>
      <c r="C27" s="9"/>
      <c r="D27" s="9"/>
      <c r="E27" s="9"/>
      <c r="F27" s="9"/>
      <c r="G27" s="9"/>
      <c r="H27" s="13" t="s">
        <v>242</v>
      </c>
      <c r="I27" s="13" t="s">
        <v>290</v>
      </c>
    </row>
    <row r="28" spans="2:9" x14ac:dyDescent="0.25">
      <c r="B28" s="9"/>
      <c r="C28" s="9"/>
      <c r="D28" s="9"/>
      <c r="E28" s="9"/>
      <c r="F28" s="9"/>
      <c r="G28" s="9"/>
      <c r="H28" s="13" t="s">
        <v>243</v>
      </c>
      <c r="I28" s="13" t="s">
        <v>291</v>
      </c>
    </row>
    <row r="29" spans="2:9" x14ac:dyDescent="0.25">
      <c r="B29" s="9"/>
      <c r="C29" s="9"/>
      <c r="D29" s="9"/>
      <c r="E29" s="9"/>
      <c r="F29" s="9"/>
      <c r="G29" s="9"/>
      <c r="H29" s="13" t="s">
        <v>244</v>
      </c>
      <c r="I29" s="13" t="s">
        <v>292</v>
      </c>
    </row>
    <row r="30" spans="2:9" x14ac:dyDescent="0.25">
      <c r="B30" s="9"/>
      <c r="C30" s="9"/>
      <c r="D30" s="9"/>
      <c r="E30" s="9"/>
      <c r="F30" s="9"/>
      <c r="G30" s="9"/>
      <c r="H30" s="13" t="s">
        <v>245</v>
      </c>
      <c r="I30" s="13" t="s">
        <v>293</v>
      </c>
    </row>
    <row r="31" spans="2:9" x14ac:dyDescent="0.25">
      <c r="B31" s="9"/>
      <c r="C31" s="9"/>
      <c r="D31" s="9"/>
      <c r="E31" s="9"/>
      <c r="F31" s="9"/>
      <c r="G31" s="9"/>
      <c r="H31" s="13" t="s">
        <v>246</v>
      </c>
      <c r="I31" s="13" t="s">
        <v>294</v>
      </c>
    </row>
    <row r="32" spans="2:9" x14ac:dyDescent="0.25">
      <c r="B32" s="9"/>
      <c r="C32" s="9"/>
      <c r="D32" s="9"/>
      <c r="E32" s="9"/>
      <c r="F32" s="9"/>
      <c r="G32" s="9"/>
      <c r="H32" s="13" t="s">
        <v>247</v>
      </c>
      <c r="I32" s="13" t="s">
        <v>295</v>
      </c>
    </row>
    <row r="33" spans="2:9" x14ac:dyDescent="0.25">
      <c r="B33" s="9"/>
      <c r="C33" s="9"/>
      <c r="D33" s="9"/>
      <c r="E33" s="9"/>
      <c r="F33" s="9"/>
      <c r="G33" s="9"/>
      <c r="H33" s="13" t="s">
        <v>248</v>
      </c>
      <c r="I33" s="13" t="s">
        <v>296</v>
      </c>
    </row>
    <row r="34" spans="2:9" x14ac:dyDescent="0.25">
      <c r="B34" s="9"/>
      <c r="C34" s="9"/>
      <c r="D34" s="9"/>
      <c r="E34" s="9"/>
      <c r="F34" s="9"/>
      <c r="G34" s="9"/>
      <c r="H34" s="13" t="s">
        <v>249</v>
      </c>
      <c r="I34" s="13" t="s">
        <v>297</v>
      </c>
    </row>
    <row r="35" spans="2:9" x14ac:dyDescent="0.25">
      <c r="B35" s="9"/>
      <c r="C35" s="9"/>
      <c r="D35" s="9"/>
      <c r="E35" s="9"/>
      <c r="F35" s="9"/>
      <c r="G35" s="9"/>
      <c r="H35" s="13" t="s">
        <v>250</v>
      </c>
      <c r="I35" s="13" t="s">
        <v>298</v>
      </c>
    </row>
    <row r="36" spans="2:9" x14ac:dyDescent="0.25">
      <c r="B36" s="9"/>
      <c r="C36" s="9"/>
      <c r="D36" s="9"/>
      <c r="E36" s="9"/>
      <c r="F36" s="9"/>
      <c r="G36" s="9"/>
      <c r="H36" s="13" t="s">
        <v>251</v>
      </c>
      <c r="I36" s="13" t="s">
        <v>299</v>
      </c>
    </row>
    <row r="37" spans="2:9" x14ac:dyDescent="0.25">
      <c r="B37" s="9"/>
      <c r="C37" s="9"/>
      <c r="D37" s="9"/>
      <c r="E37" s="9"/>
      <c r="F37" s="9"/>
      <c r="G37" s="9"/>
      <c r="H37" s="13" t="s">
        <v>252</v>
      </c>
      <c r="I37" s="13" t="s">
        <v>300</v>
      </c>
    </row>
    <row r="38" spans="2:9" x14ac:dyDescent="0.25">
      <c r="B38" s="9"/>
      <c r="C38" s="9"/>
      <c r="D38" s="9"/>
      <c r="E38" s="9"/>
      <c r="F38" s="9"/>
      <c r="G38" s="9"/>
      <c r="H38" s="13" t="s">
        <v>253</v>
      </c>
      <c r="I38" s="13" t="s">
        <v>301</v>
      </c>
    </row>
    <row r="39" spans="2:9" x14ac:dyDescent="0.25">
      <c r="B39" s="9"/>
      <c r="C39" s="9"/>
      <c r="D39" s="9"/>
      <c r="E39" s="9"/>
      <c r="F39" s="9"/>
      <c r="G39" s="9"/>
      <c r="H39" s="13" t="s">
        <v>254</v>
      </c>
      <c r="I39" s="13" t="s">
        <v>302</v>
      </c>
    </row>
    <row r="40" spans="2:9" x14ac:dyDescent="0.25">
      <c r="B40" s="9"/>
      <c r="C40" s="9"/>
      <c r="D40" s="9"/>
      <c r="E40" s="9"/>
      <c r="F40" s="9"/>
      <c r="G40" s="9"/>
      <c r="H40" s="13" t="s">
        <v>255</v>
      </c>
      <c r="I40" s="13" t="s">
        <v>303</v>
      </c>
    </row>
    <row r="41" spans="2:9" x14ac:dyDescent="0.25">
      <c r="B41" s="9"/>
      <c r="C41" s="9"/>
      <c r="D41" s="9"/>
      <c r="E41" s="9"/>
      <c r="F41" s="9"/>
      <c r="G41" s="9"/>
      <c r="H41" s="13" t="s">
        <v>256</v>
      </c>
      <c r="I41" s="13" t="s">
        <v>304</v>
      </c>
    </row>
    <row r="42" spans="2:9" x14ac:dyDescent="0.25">
      <c r="B42" s="9"/>
      <c r="C42" s="9"/>
      <c r="D42" s="9"/>
      <c r="E42" s="9"/>
      <c r="F42" s="9"/>
      <c r="G42" s="9"/>
      <c r="H42" s="13" t="s">
        <v>257</v>
      </c>
      <c r="I42" s="13" t="s">
        <v>305</v>
      </c>
    </row>
    <row r="43" spans="2:9" x14ac:dyDescent="0.25">
      <c r="B43" s="9"/>
      <c r="C43" s="9"/>
      <c r="D43" s="9"/>
      <c r="E43" s="9"/>
      <c r="F43" s="9"/>
      <c r="G43" s="9"/>
      <c r="H43" s="13" t="s">
        <v>258</v>
      </c>
      <c r="I43" s="13" t="s">
        <v>306</v>
      </c>
    </row>
    <row r="44" spans="2:9" x14ac:dyDescent="0.25">
      <c r="B44" s="9"/>
      <c r="C44" s="9"/>
      <c r="D44" s="9"/>
      <c r="E44" s="9"/>
      <c r="F44" s="9"/>
      <c r="G44" s="9"/>
      <c r="H44" s="13" t="s">
        <v>259</v>
      </c>
      <c r="I44" s="13" t="s">
        <v>307</v>
      </c>
    </row>
    <row r="45" spans="2:9" x14ac:dyDescent="0.25">
      <c r="B45" s="9"/>
      <c r="C45" s="9"/>
      <c r="D45" s="9"/>
      <c r="E45" s="9"/>
      <c r="F45" s="9"/>
      <c r="G45" s="9"/>
      <c r="H45" s="13" t="s">
        <v>260</v>
      </c>
      <c r="I45" s="13" t="s">
        <v>308</v>
      </c>
    </row>
    <row r="46" spans="2:9" x14ac:dyDescent="0.25">
      <c r="B46" s="9"/>
      <c r="C46" s="9"/>
      <c r="D46" s="9"/>
      <c r="E46" s="9"/>
      <c r="F46" s="9"/>
      <c r="G46" s="9"/>
      <c r="H46" s="13" t="s">
        <v>261</v>
      </c>
      <c r="I46" s="13" t="s">
        <v>309</v>
      </c>
    </row>
    <row r="47" spans="2:9" x14ac:dyDescent="0.25">
      <c r="B47" s="9"/>
      <c r="C47" s="9"/>
      <c r="D47" s="9"/>
      <c r="E47" s="9"/>
      <c r="F47" s="9"/>
      <c r="G47" s="9"/>
      <c r="H47" s="13" t="s">
        <v>262</v>
      </c>
      <c r="I47" s="13" t="s">
        <v>310</v>
      </c>
    </row>
    <row r="48" spans="2:9" x14ac:dyDescent="0.25">
      <c r="B48" s="9"/>
      <c r="C48" s="9"/>
      <c r="D48" s="9"/>
      <c r="E48" s="9"/>
      <c r="F48" s="9"/>
      <c r="G48" s="9"/>
      <c r="H48" s="13" t="s">
        <v>263</v>
      </c>
      <c r="I48" s="13" t="s">
        <v>311</v>
      </c>
    </row>
    <row r="49" spans="2:9" x14ac:dyDescent="0.25">
      <c r="B49" s="9"/>
      <c r="C49" s="9"/>
      <c r="D49" s="9"/>
      <c r="E49" s="9"/>
      <c r="F49" s="9"/>
      <c r="G49" s="9"/>
      <c r="H49" s="13" t="s">
        <v>264</v>
      </c>
      <c r="I49" s="13" t="s">
        <v>312</v>
      </c>
    </row>
    <row r="50" spans="2:9" x14ac:dyDescent="0.25">
      <c r="B50" s="9"/>
      <c r="C50" s="9"/>
      <c r="D50" s="9"/>
      <c r="E50" s="9"/>
      <c r="F50" s="9"/>
      <c r="G50" s="9"/>
      <c r="H50" s="13" t="s">
        <v>265</v>
      </c>
      <c r="I50" s="13" t="s">
        <v>313</v>
      </c>
    </row>
  </sheetData>
  <phoneticPr fontId="25" type="noConversion"/>
  <pageMargins left="0.511811024" right="0.511811024" top="0.78740157499999996" bottom="0.78740157499999996" header="0.31496062000000002" footer="0.31496062000000002"/>
  <pageSetup paperSize="9"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/>
  <dimension ref="A1:DQ56"/>
  <sheetViews>
    <sheetView topLeftCell="A10" workbookViewId="0">
      <pane xSplit="1" topLeftCell="B1" activePane="topRight" state="frozen"/>
      <selection pane="topRight" activeCell="A26" sqref="A26"/>
    </sheetView>
  </sheetViews>
  <sheetFormatPr defaultColWidth="9" defaultRowHeight="15" customHeight="1" x14ac:dyDescent="0.25"/>
  <cols>
    <col min="1" max="1" width="11.85546875" style="78" bestFit="1" customWidth="1"/>
    <col min="2" max="2" width="19.7109375" style="67" customWidth="1"/>
    <col min="3" max="3" width="18.42578125" style="67" customWidth="1"/>
    <col min="4" max="5" width="11" style="67" customWidth="1"/>
    <col min="6" max="6" width="16.5703125" style="79" customWidth="1"/>
    <col min="7" max="7" width="18.42578125" style="80" customWidth="1"/>
    <col min="8" max="8" width="16.7109375" style="80" customWidth="1"/>
    <col min="9" max="9" width="12.42578125" style="67" customWidth="1"/>
    <col min="10" max="10" width="11.85546875" style="67" customWidth="1"/>
    <col min="11" max="11" width="15.42578125" style="67" customWidth="1"/>
    <col min="12" max="14" width="9.7109375" style="67" customWidth="1"/>
    <col min="15" max="17" width="11.7109375" style="67" customWidth="1"/>
    <col min="18" max="20" width="9.42578125" style="67" customWidth="1"/>
    <col min="21" max="23" width="9.7109375" style="67" customWidth="1"/>
    <col min="24" max="26" width="11.7109375" style="67" customWidth="1"/>
    <col min="27" max="29" width="12.7109375" style="67" customWidth="1"/>
    <col min="30" max="30" width="11.85546875" style="67" customWidth="1"/>
    <col min="31" max="31" width="11.42578125" style="67" customWidth="1"/>
    <col min="32" max="32" width="13.42578125" style="67" customWidth="1"/>
    <col min="33" max="33" width="11.42578125" style="67" customWidth="1"/>
    <col min="34" max="34" width="14.85546875" style="67" customWidth="1"/>
    <col min="35" max="35" width="11" style="67" customWidth="1"/>
    <col min="36" max="36" width="12.85546875" style="67" customWidth="1"/>
    <col min="37" max="37" width="11.7109375" style="67" customWidth="1"/>
    <col min="38" max="38" width="12" style="67" customWidth="1"/>
    <col min="39" max="39" width="11.42578125" style="67" customWidth="1"/>
    <col min="40" max="40" width="10" style="67" customWidth="1"/>
    <col min="41" max="41" width="13" style="67" customWidth="1"/>
    <col min="42" max="43" width="12.42578125" style="79" customWidth="1"/>
    <col min="44" max="45" width="11.42578125" style="67" customWidth="1"/>
    <col min="46" max="47" width="10.85546875" style="67" customWidth="1"/>
    <col min="48" max="49" width="14.42578125" style="67" customWidth="1"/>
    <col min="50" max="50" width="18.85546875" style="67" customWidth="1"/>
    <col min="51" max="51" width="21.5703125" style="67" customWidth="1"/>
    <col min="52" max="52" width="18.5703125" style="67" customWidth="1"/>
    <col min="53" max="53" width="14.5703125" style="67" customWidth="1"/>
    <col min="54" max="54" width="14.85546875" style="67" customWidth="1"/>
    <col min="55" max="55" width="16.85546875" style="67" customWidth="1"/>
    <col min="56" max="56" width="16.42578125" style="67" customWidth="1"/>
    <col min="57" max="57" width="17.42578125" style="67" customWidth="1"/>
    <col min="58" max="58" width="18.5703125" style="67" customWidth="1"/>
    <col min="59" max="59" width="16.85546875" style="67" customWidth="1"/>
    <col min="60" max="60" width="14" style="67" customWidth="1"/>
    <col min="61" max="61" width="14.42578125" style="67" customWidth="1"/>
    <col min="62" max="62" width="16.42578125" style="67" customWidth="1"/>
    <col min="63" max="63" width="15.85546875" style="67" customWidth="1"/>
    <col min="64" max="64" width="17" style="67" customWidth="1"/>
    <col min="65" max="65" width="12.5703125" style="67" customWidth="1"/>
    <col min="66" max="66" width="11.5703125" style="67" customWidth="1"/>
    <col min="67" max="67" width="10" style="67" customWidth="1"/>
    <col min="68" max="68" width="9" style="67" customWidth="1"/>
    <col min="69" max="69" width="10.42578125" style="67" customWidth="1"/>
    <col min="70" max="70" width="9.42578125" style="67" customWidth="1"/>
    <col min="71" max="71" width="12" style="67" customWidth="1"/>
    <col min="72" max="72" width="11" style="67" customWidth="1"/>
    <col min="73" max="73" width="11.5703125" style="67" customWidth="1"/>
    <col min="74" max="74" width="10.5703125" style="67" customWidth="1"/>
    <col min="75" max="75" width="15.5703125" style="67" bestFit="1" customWidth="1"/>
    <col min="76" max="76" width="12.7109375" style="67" customWidth="1"/>
    <col min="77" max="77" width="11.7109375" style="67" customWidth="1"/>
    <col min="78" max="78" width="14.7109375" style="67" customWidth="1"/>
    <col min="79" max="79" width="17.42578125" style="79" customWidth="1"/>
    <col min="80" max="80" width="20.7109375" style="80" customWidth="1"/>
    <col min="81" max="81" width="20" style="67" customWidth="1"/>
    <col min="82" max="82" width="16" style="67" customWidth="1"/>
    <col min="83" max="83" width="11.42578125" style="67" customWidth="1"/>
    <col min="84" max="84" width="10.85546875" style="67" customWidth="1"/>
    <col min="85" max="85" width="14.42578125" style="67" customWidth="1"/>
    <col min="86" max="86" width="8.7109375" style="67" customWidth="1"/>
    <col min="87" max="87" width="8.42578125" style="67" customWidth="1"/>
    <col min="88" max="88" width="11.7109375" style="67" customWidth="1"/>
    <col min="89" max="89" width="9" style="67" customWidth="1"/>
    <col min="90" max="90" width="8.5703125" style="67" customWidth="1"/>
    <col min="91" max="91" width="12" style="67" customWidth="1"/>
    <col min="92" max="92" width="10.85546875" style="67" customWidth="1"/>
    <col min="93" max="93" width="10.42578125" style="67" customWidth="1"/>
    <col min="94" max="94" width="13.85546875" style="67" customWidth="1"/>
    <col min="95" max="95" width="10.42578125" style="67" customWidth="1"/>
    <col min="96" max="96" width="9.85546875" style="67" customWidth="1"/>
    <col min="97" max="97" width="13.42578125" style="67" customWidth="1"/>
    <col min="98" max="98" width="14.28515625" style="67" customWidth="1"/>
    <col min="99" max="99" width="11.42578125" style="67" customWidth="1"/>
    <col min="100" max="100" width="11" style="67" customWidth="1"/>
    <col min="101" max="101" width="14.42578125" style="67" customWidth="1"/>
    <col min="102" max="102" width="17.7109375" style="67" customWidth="1"/>
    <col min="103" max="103" width="14.7109375" style="67" customWidth="1"/>
    <col min="104" max="104" width="10" style="67" customWidth="1"/>
    <col min="105" max="105" width="10.85546875" style="67" customWidth="1"/>
    <col min="106" max="106" width="10.42578125" style="116" bestFit="1" customWidth="1"/>
    <col min="107" max="107" width="9" style="116"/>
    <col min="108" max="108" width="19.85546875" style="116" bestFit="1" customWidth="1"/>
    <col min="109" max="114" width="9" style="67"/>
    <col min="115" max="115" width="12.140625" style="78" bestFit="1" customWidth="1"/>
    <col min="116" max="118" width="9" style="67"/>
    <col min="119" max="119" width="9" style="123"/>
    <col min="120" max="120" width="13.7109375" style="67" bestFit="1" customWidth="1"/>
    <col min="121" max="16384" width="9" style="67"/>
  </cols>
  <sheetData>
    <row r="1" spans="1:121" s="102" customFormat="1" ht="15" customHeight="1" x14ac:dyDescent="0.25">
      <c r="A1" s="103" t="s">
        <v>189</v>
      </c>
      <c r="B1" s="104">
        <v>1</v>
      </c>
      <c r="C1" s="104">
        <v>2</v>
      </c>
      <c r="D1" s="104">
        <v>3</v>
      </c>
      <c r="E1" s="104">
        <v>4</v>
      </c>
      <c r="F1" s="104">
        <v>5</v>
      </c>
      <c r="G1" s="104">
        <v>6</v>
      </c>
      <c r="H1" s="104">
        <v>7</v>
      </c>
      <c r="I1" s="104">
        <v>8</v>
      </c>
      <c r="J1" s="104">
        <v>9</v>
      </c>
      <c r="K1" s="104">
        <v>10</v>
      </c>
      <c r="L1" s="104">
        <v>11</v>
      </c>
      <c r="M1" s="104">
        <v>12</v>
      </c>
      <c r="N1" s="104">
        <v>13</v>
      </c>
      <c r="O1" s="104">
        <v>14</v>
      </c>
      <c r="P1" s="104">
        <v>15</v>
      </c>
      <c r="Q1" s="104">
        <v>16</v>
      </c>
      <c r="R1" s="104">
        <v>17</v>
      </c>
      <c r="S1" s="104">
        <v>18</v>
      </c>
      <c r="T1" s="104">
        <v>19</v>
      </c>
      <c r="U1" s="104">
        <v>20</v>
      </c>
      <c r="V1" s="104">
        <v>21</v>
      </c>
      <c r="W1" s="104">
        <v>22</v>
      </c>
      <c r="X1" s="104">
        <v>23</v>
      </c>
      <c r="Y1" s="104">
        <v>24</v>
      </c>
      <c r="Z1" s="104">
        <v>25</v>
      </c>
      <c r="AA1" s="104">
        <v>26</v>
      </c>
      <c r="AB1" s="104">
        <v>27</v>
      </c>
      <c r="AC1" s="104">
        <v>28</v>
      </c>
      <c r="AD1" s="104">
        <v>29</v>
      </c>
      <c r="AE1" s="104">
        <v>30</v>
      </c>
      <c r="AF1" s="104">
        <v>31</v>
      </c>
      <c r="AG1" s="104">
        <v>32</v>
      </c>
      <c r="AH1" s="104">
        <v>33</v>
      </c>
      <c r="AI1" s="104">
        <v>34</v>
      </c>
      <c r="AJ1" s="104">
        <v>35</v>
      </c>
      <c r="AK1" s="104">
        <v>36</v>
      </c>
      <c r="AL1" s="104">
        <v>37</v>
      </c>
      <c r="AM1" s="104">
        <v>38</v>
      </c>
      <c r="AN1" s="104">
        <v>39</v>
      </c>
      <c r="AO1" s="104">
        <v>40</v>
      </c>
      <c r="AP1" s="104">
        <v>41</v>
      </c>
      <c r="AQ1" s="104">
        <v>42</v>
      </c>
      <c r="AR1" s="104">
        <v>43</v>
      </c>
      <c r="AS1" s="104">
        <v>44</v>
      </c>
      <c r="AT1" s="104">
        <v>45</v>
      </c>
      <c r="AU1" s="104">
        <v>46</v>
      </c>
      <c r="AV1" s="104">
        <v>47</v>
      </c>
      <c r="AW1" s="104">
        <v>48</v>
      </c>
      <c r="AX1" s="104">
        <v>49</v>
      </c>
      <c r="AY1" s="104">
        <v>50</v>
      </c>
      <c r="AZ1" s="104">
        <v>51</v>
      </c>
      <c r="BA1" s="104">
        <v>52</v>
      </c>
      <c r="BB1" s="104">
        <v>53</v>
      </c>
      <c r="BC1" s="104">
        <v>54</v>
      </c>
      <c r="BD1" s="104">
        <v>55</v>
      </c>
      <c r="BE1" s="104">
        <v>56</v>
      </c>
      <c r="BF1" s="104">
        <v>57</v>
      </c>
      <c r="BG1" s="104">
        <v>58</v>
      </c>
      <c r="BH1" s="104">
        <v>59</v>
      </c>
      <c r="BI1" s="104">
        <v>60</v>
      </c>
      <c r="BJ1" s="104">
        <v>61</v>
      </c>
      <c r="BK1" s="104">
        <v>62</v>
      </c>
      <c r="BL1" s="104">
        <v>63</v>
      </c>
      <c r="BM1" s="104">
        <v>64</v>
      </c>
      <c r="BN1" s="104">
        <v>65</v>
      </c>
      <c r="BO1" s="104">
        <v>66</v>
      </c>
      <c r="BP1" s="104">
        <v>67</v>
      </c>
      <c r="BQ1" s="104">
        <v>68</v>
      </c>
      <c r="BR1" s="104">
        <v>69</v>
      </c>
      <c r="BS1" s="104">
        <v>70</v>
      </c>
      <c r="BT1" s="104">
        <v>71</v>
      </c>
      <c r="BU1" s="104">
        <v>72</v>
      </c>
      <c r="BV1" s="104">
        <v>73</v>
      </c>
      <c r="BW1" s="104">
        <v>74</v>
      </c>
      <c r="BX1" s="104">
        <v>75</v>
      </c>
      <c r="BY1" s="104">
        <v>76</v>
      </c>
      <c r="BZ1" s="104">
        <v>77</v>
      </c>
      <c r="CA1" s="104">
        <v>78</v>
      </c>
      <c r="CB1" s="104">
        <v>79</v>
      </c>
      <c r="CC1" s="104">
        <v>80</v>
      </c>
      <c r="CD1" s="104">
        <v>81</v>
      </c>
      <c r="CE1" s="104">
        <v>82</v>
      </c>
      <c r="CF1" s="104">
        <v>83</v>
      </c>
      <c r="CG1" s="104">
        <v>84</v>
      </c>
      <c r="CH1" s="104">
        <v>85</v>
      </c>
      <c r="CI1" s="104">
        <v>86</v>
      </c>
      <c r="CJ1" s="104">
        <v>87</v>
      </c>
      <c r="CK1" s="104">
        <v>88</v>
      </c>
      <c r="CL1" s="104">
        <v>89</v>
      </c>
      <c r="CM1" s="104">
        <v>90</v>
      </c>
      <c r="CN1" s="104">
        <v>91</v>
      </c>
      <c r="CO1" s="104">
        <v>92</v>
      </c>
      <c r="CP1" s="104">
        <v>93</v>
      </c>
      <c r="CQ1" s="104">
        <v>94</v>
      </c>
      <c r="CR1" s="104">
        <v>95</v>
      </c>
      <c r="CS1" s="104">
        <v>96</v>
      </c>
      <c r="CT1" s="104">
        <v>97</v>
      </c>
      <c r="CU1" s="104">
        <v>98</v>
      </c>
      <c r="CV1" s="104">
        <v>99</v>
      </c>
      <c r="CW1" s="104">
        <v>100</v>
      </c>
      <c r="CX1" s="104">
        <v>101</v>
      </c>
      <c r="CY1" s="104">
        <v>102</v>
      </c>
      <c r="CZ1" s="104">
        <v>103</v>
      </c>
      <c r="DA1" s="104">
        <v>104</v>
      </c>
      <c r="DB1" s="141" t="str">
        <f>IF(MONTH(F1)=1,"Janeiro",IF(MONTH(F1)=2,"Fevereiro",IF(MONTH(F1)=3,"Março",IF(MONTH(F1)=4,"Abril",IF(MONTH(F1)=5,"Maio",IF(MONTH(F1)=6,"Junho",IF(MONTH(F1)=7,"Julho",IF(MONTH(F1)=8,"Agosto",IF(MONTH(F1=9),"Setembro",IF(MONTH(F1=10),"Outubro",IF(MONTH(F1=11),"Novembro","Dezembro")))))))))))</f>
        <v>Janeiro</v>
      </c>
      <c r="DC1" s="141">
        <f>YEAR(F1)</f>
        <v>1900</v>
      </c>
      <c r="DD1" s="142" t="str">
        <f>B1&amp;" "&amp;C1</f>
        <v>1 2</v>
      </c>
      <c r="DK1" s="78"/>
      <c r="DL1" s="78"/>
      <c r="DO1" s="94"/>
    </row>
    <row r="2" spans="1:121" s="93" customFormat="1" x14ac:dyDescent="0.25">
      <c r="A2" s="87" t="s">
        <v>77</v>
      </c>
      <c r="B2" s="88" t="s">
        <v>78</v>
      </c>
      <c r="C2" s="88" t="s">
        <v>39</v>
      </c>
      <c r="D2" s="88" t="s">
        <v>79</v>
      </c>
      <c r="E2" s="88" t="s">
        <v>80</v>
      </c>
      <c r="F2" s="89" t="s">
        <v>174</v>
      </c>
      <c r="G2" s="86" t="s">
        <v>81</v>
      </c>
      <c r="H2" s="86" t="s">
        <v>104</v>
      </c>
      <c r="I2" s="88" t="s">
        <v>105</v>
      </c>
      <c r="J2" s="88" t="s">
        <v>106</v>
      </c>
      <c r="K2" s="88" t="s">
        <v>107</v>
      </c>
      <c r="L2" s="88" t="s">
        <v>108</v>
      </c>
      <c r="M2" s="88" t="s">
        <v>111</v>
      </c>
      <c r="N2" s="88" t="s">
        <v>114</v>
      </c>
      <c r="O2" s="88" t="s">
        <v>117</v>
      </c>
      <c r="P2" s="88" t="s">
        <v>118</v>
      </c>
      <c r="Q2" s="88" t="s">
        <v>119</v>
      </c>
      <c r="R2" s="88" t="s">
        <v>109</v>
      </c>
      <c r="S2" s="88" t="s">
        <v>112</v>
      </c>
      <c r="T2" s="88" t="s">
        <v>115</v>
      </c>
      <c r="U2" s="88" t="s">
        <v>120</v>
      </c>
      <c r="V2" s="88" t="s">
        <v>121</v>
      </c>
      <c r="W2" s="88" t="s">
        <v>122</v>
      </c>
      <c r="X2" s="88" t="s">
        <v>123</v>
      </c>
      <c r="Y2" s="88" t="s">
        <v>124</v>
      </c>
      <c r="Z2" s="88" t="s">
        <v>125</v>
      </c>
      <c r="AA2" s="88" t="s">
        <v>110</v>
      </c>
      <c r="AB2" s="88" t="s">
        <v>113</v>
      </c>
      <c r="AC2" s="88" t="s">
        <v>116</v>
      </c>
      <c r="AD2" s="88" t="s">
        <v>129</v>
      </c>
      <c r="AE2" s="88" t="s">
        <v>130</v>
      </c>
      <c r="AF2" s="88" t="s">
        <v>131</v>
      </c>
      <c r="AG2" s="88" t="s">
        <v>132</v>
      </c>
      <c r="AH2" s="88" t="s">
        <v>133</v>
      </c>
      <c r="AI2" s="88" t="s">
        <v>134</v>
      </c>
      <c r="AJ2" s="88" t="s">
        <v>135</v>
      </c>
      <c r="AK2" s="88" t="s">
        <v>136</v>
      </c>
      <c r="AL2" s="88" t="s">
        <v>137</v>
      </c>
      <c r="AM2" s="88" t="s">
        <v>138</v>
      </c>
      <c r="AN2" s="88" t="s">
        <v>139</v>
      </c>
      <c r="AO2" s="88" t="s">
        <v>140</v>
      </c>
      <c r="AP2" s="89" t="s">
        <v>141</v>
      </c>
      <c r="AQ2" s="89" t="s">
        <v>142</v>
      </c>
      <c r="AR2" s="88" t="s">
        <v>143</v>
      </c>
      <c r="AS2" s="88" t="s">
        <v>144</v>
      </c>
      <c r="AT2" s="88" t="s">
        <v>145</v>
      </c>
      <c r="AU2" s="88" t="s">
        <v>146</v>
      </c>
      <c r="AV2" s="88" t="s">
        <v>147</v>
      </c>
      <c r="AW2" s="88" t="s">
        <v>148</v>
      </c>
      <c r="AX2" s="88" t="s">
        <v>149</v>
      </c>
      <c r="AY2" s="88" t="s">
        <v>150</v>
      </c>
      <c r="AZ2" s="88" t="s">
        <v>151</v>
      </c>
      <c r="BA2" s="88" t="s">
        <v>152</v>
      </c>
      <c r="BB2" s="88" t="s">
        <v>153</v>
      </c>
      <c r="BC2" s="88" t="s">
        <v>154</v>
      </c>
      <c r="BD2" s="88" t="s">
        <v>155</v>
      </c>
      <c r="BE2" s="88" t="s">
        <v>156</v>
      </c>
      <c r="BF2" s="88" t="s">
        <v>157</v>
      </c>
      <c r="BG2" s="88" t="s">
        <v>158</v>
      </c>
      <c r="BH2" s="88" t="s">
        <v>159</v>
      </c>
      <c r="BI2" s="88" t="s">
        <v>160</v>
      </c>
      <c r="BJ2" s="88" t="s">
        <v>161</v>
      </c>
      <c r="BK2" s="88" t="s">
        <v>162</v>
      </c>
      <c r="BL2" s="88" t="s">
        <v>163</v>
      </c>
      <c r="BM2" s="88" t="s">
        <v>178</v>
      </c>
      <c r="BN2" s="88" t="s">
        <v>179</v>
      </c>
      <c r="BO2" s="88" t="s">
        <v>165</v>
      </c>
      <c r="BP2" s="88" t="s">
        <v>166</v>
      </c>
      <c r="BQ2" s="88" t="s">
        <v>167</v>
      </c>
      <c r="BR2" s="88" t="s">
        <v>168</v>
      </c>
      <c r="BS2" s="88" t="s">
        <v>180</v>
      </c>
      <c r="BT2" s="88" t="s">
        <v>181</v>
      </c>
      <c r="BU2" s="88" t="s">
        <v>169</v>
      </c>
      <c r="BV2" s="88" t="s">
        <v>170</v>
      </c>
      <c r="BW2" s="88" t="s">
        <v>190</v>
      </c>
      <c r="BX2" s="88" t="s">
        <v>171</v>
      </c>
      <c r="BY2" s="88" t="s">
        <v>172</v>
      </c>
      <c r="BZ2" s="88" t="s">
        <v>164</v>
      </c>
      <c r="CA2" s="90" t="s">
        <v>175</v>
      </c>
      <c r="CB2" s="91" t="s">
        <v>82</v>
      </c>
      <c r="CC2" s="92" t="s">
        <v>101</v>
      </c>
      <c r="CD2" s="92" t="s">
        <v>102</v>
      </c>
      <c r="CE2" s="92" t="s">
        <v>83</v>
      </c>
      <c r="CF2" s="92" t="s">
        <v>84</v>
      </c>
      <c r="CG2" s="92" t="s">
        <v>88</v>
      </c>
      <c r="CH2" s="92" t="s">
        <v>85</v>
      </c>
      <c r="CI2" s="92" t="s">
        <v>86</v>
      </c>
      <c r="CJ2" s="92" t="s">
        <v>87</v>
      </c>
      <c r="CK2" s="92" t="s">
        <v>89</v>
      </c>
      <c r="CL2" s="92" t="s">
        <v>90</v>
      </c>
      <c r="CM2" s="92" t="s">
        <v>91</v>
      </c>
      <c r="CN2" s="92" t="s">
        <v>92</v>
      </c>
      <c r="CO2" s="92" t="s">
        <v>93</v>
      </c>
      <c r="CP2" s="92" t="s">
        <v>94</v>
      </c>
      <c r="CQ2" s="92" t="s">
        <v>95</v>
      </c>
      <c r="CR2" s="92" t="s">
        <v>96</v>
      </c>
      <c r="CS2" s="92" t="s">
        <v>97</v>
      </c>
      <c r="CT2" s="92" t="s">
        <v>188</v>
      </c>
      <c r="CU2" s="92" t="s">
        <v>98</v>
      </c>
      <c r="CV2" s="92" t="s">
        <v>99</v>
      </c>
      <c r="CW2" s="92" t="s">
        <v>100</v>
      </c>
      <c r="CX2" s="92" t="s">
        <v>103</v>
      </c>
      <c r="CY2" s="92" t="s">
        <v>173</v>
      </c>
      <c r="CZ2" s="92" t="s">
        <v>184</v>
      </c>
      <c r="DA2" s="92" t="s">
        <v>198</v>
      </c>
      <c r="DB2" s="115" t="s">
        <v>199</v>
      </c>
      <c r="DC2" s="115" t="s">
        <v>200</v>
      </c>
      <c r="DD2" s="115" t="s">
        <v>201</v>
      </c>
      <c r="DK2" s="78"/>
      <c r="DL2" s="78"/>
      <c r="DO2" s="124"/>
    </row>
    <row r="3" spans="1:121" ht="15" customHeight="1" x14ac:dyDescent="0.25">
      <c r="A3" s="78">
        <v>1190813</v>
      </c>
      <c r="B3" s="11" t="s">
        <v>320</v>
      </c>
      <c r="C3" s="12" t="s">
        <v>339</v>
      </c>
      <c r="D3" s="12" t="s">
        <v>314</v>
      </c>
      <c r="E3" s="12" t="s">
        <v>55</v>
      </c>
      <c r="F3" s="79">
        <v>43690</v>
      </c>
      <c r="G3" s="80">
        <v>0.50694444444444442</v>
      </c>
      <c r="I3" s="67">
        <v>21.2</v>
      </c>
      <c r="J3" s="67">
        <v>20.9</v>
      </c>
      <c r="K3" s="67">
        <v>1.4150943396226467</v>
      </c>
      <c r="L3" s="67">
        <v>7</v>
      </c>
      <c r="O3" s="67">
        <v>20.7</v>
      </c>
      <c r="R3" s="67">
        <v>7.07</v>
      </c>
      <c r="AA3" s="67">
        <v>1.0000000000000009</v>
      </c>
      <c r="AB3" s="67" t="s">
        <v>183</v>
      </c>
      <c r="AC3" s="67" t="s">
        <v>183</v>
      </c>
      <c r="AD3" s="67">
        <v>147</v>
      </c>
      <c r="AE3" s="67">
        <v>145.6</v>
      </c>
      <c r="AG3" s="67">
        <v>0</v>
      </c>
      <c r="AH3" s="67">
        <v>0.9523809523809601</v>
      </c>
      <c r="AI3" s="67">
        <v>18.18</v>
      </c>
      <c r="AJ3" s="67">
        <v>702.5</v>
      </c>
      <c r="AK3" s="67">
        <v>8.7040155574349072</v>
      </c>
      <c r="AL3" s="67">
        <v>92.434210526315795</v>
      </c>
      <c r="AM3" s="67">
        <v>8.7100000000000009</v>
      </c>
      <c r="AN3" s="67">
        <v>92.3</v>
      </c>
      <c r="AO3" s="67">
        <v>6.8754961725470132E-2</v>
      </c>
      <c r="AP3" s="79">
        <v>43689</v>
      </c>
      <c r="AR3" s="67">
        <v>98.5</v>
      </c>
      <c r="AT3" s="67">
        <v>96.6</v>
      </c>
      <c r="AV3" s="67">
        <v>1.9289340101522945</v>
      </c>
      <c r="AW3" s="67" t="s">
        <v>183</v>
      </c>
      <c r="AX3" s="67">
        <v>2</v>
      </c>
      <c r="AY3" s="67" t="s">
        <v>46</v>
      </c>
      <c r="AZ3" s="67">
        <v>2</v>
      </c>
      <c r="BA3" s="67">
        <v>2</v>
      </c>
      <c r="BB3" s="67">
        <v>2</v>
      </c>
      <c r="BC3" s="67">
        <v>2</v>
      </c>
      <c r="BD3" s="67" t="s">
        <v>29</v>
      </c>
      <c r="BE3" s="67">
        <v>2</v>
      </c>
      <c r="BF3" s="67">
        <v>2</v>
      </c>
      <c r="BG3" s="67">
        <v>2</v>
      </c>
      <c r="BH3" s="67">
        <v>2</v>
      </c>
      <c r="BI3" s="67">
        <v>2</v>
      </c>
      <c r="BJ3" s="67">
        <v>2</v>
      </c>
      <c r="BK3" s="67" t="s">
        <v>30</v>
      </c>
      <c r="BL3" s="67">
        <v>2</v>
      </c>
      <c r="CA3" s="79">
        <v>43704</v>
      </c>
      <c r="CB3" s="80">
        <v>0.49305555555555558</v>
      </c>
      <c r="CC3" s="67" t="s">
        <v>51</v>
      </c>
      <c r="CD3" s="67" t="s">
        <v>46</v>
      </c>
      <c r="CE3" s="67">
        <v>17.190000000000001</v>
      </c>
      <c r="CF3" s="67">
        <v>17.23</v>
      </c>
      <c r="CG3" s="67">
        <v>0.23269342641070168</v>
      </c>
      <c r="CH3" s="67">
        <v>6.39</v>
      </c>
      <c r="CI3" s="67">
        <v>6.19</v>
      </c>
      <c r="CJ3" s="67">
        <v>3.1298904538341055</v>
      </c>
      <c r="CK3" s="67">
        <v>5.81</v>
      </c>
      <c r="CL3" s="67">
        <v>5.73</v>
      </c>
      <c r="CM3" s="67">
        <v>1.376936316695343</v>
      </c>
      <c r="CN3" s="67">
        <v>38.700000000000003</v>
      </c>
      <c r="CO3" s="67">
        <v>38.1</v>
      </c>
      <c r="CP3" s="67">
        <v>1.5503875968992276</v>
      </c>
      <c r="CQ3" s="67">
        <v>4.43</v>
      </c>
      <c r="CR3" s="67">
        <v>4.5999999999999996</v>
      </c>
      <c r="CS3" s="67">
        <v>3.8374717832957206</v>
      </c>
      <c r="CW3" s="67" t="s">
        <v>183</v>
      </c>
      <c r="CX3" s="67">
        <v>5.32</v>
      </c>
      <c r="CY3" s="67" t="s">
        <v>212</v>
      </c>
      <c r="CZ3" s="67" t="s">
        <v>54</v>
      </c>
      <c r="DA3" s="67" t="s">
        <v>55</v>
      </c>
      <c r="DB3" s="141" t="str">
        <f t="shared" ref="DB3" si="0">IF(MONTH(F3)=1,"Janeiro",IF(MONTH(F3)=2,"Fevereiro",IF(MONTH(F3)=3,"Março",IF(MONTH(F3)=4,"Abril",IF(MONTH(F3)=5,"Maio",IF(MONTH(F3)=6,"Junho",IF(MONTH(F3)=7,"Julho",IF(MONTH(F3)=8,"Agosto",IF(MONTH(F3=9),"Setembro",IF(MONTH(F3=10),"Outubro",IF(MONTH(F3=11),"Novembro","Dezembro")))))))))))</f>
        <v>Agosto</v>
      </c>
      <c r="DC3" s="141">
        <f t="shared" ref="DC3" si="1">YEAR(F3)</f>
        <v>2019</v>
      </c>
      <c r="DD3" s="142" t="str">
        <f t="shared" ref="DD3" si="2">B3&amp;" "&amp;C3</f>
        <v>COD001 Estação 1</v>
      </c>
      <c r="DJ3" s="78"/>
      <c r="DL3" s="78"/>
      <c r="DM3" s="78"/>
      <c r="DN3" s="78"/>
      <c r="DO3" s="78"/>
    </row>
    <row r="4" spans="1:121" ht="15" customHeight="1" x14ac:dyDescent="0.25">
      <c r="A4" s="78">
        <v>1190827</v>
      </c>
      <c r="B4" s="11" t="s">
        <v>321</v>
      </c>
      <c r="C4" s="12" t="s">
        <v>340</v>
      </c>
      <c r="D4" s="12" t="s">
        <v>315</v>
      </c>
      <c r="E4" s="12" t="s">
        <v>54</v>
      </c>
      <c r="F4" s="79">
        <v>43704</v>
      </c>
      <c r="G4" s="80">
        <v>0.41666666666666669</v>
      </c>
      <c r="I4" s="67">
        <v>19.2</v>
      </c>
      <c r="J4" s="67">
        <v>19.22</v>
      </c>
      <c r="K4" s="67">
        <v>0.10416666666666075</v>
      </c>
      <c r="L4" s="67">
        <v>10</v>
      </c>
      <c r="O4" s="67">
        <v>19.22</v>
      </c>
      <c r="R4" s="67">
        <v>10.19</v>
      </c>
      <c r="AA4" s="67">
        <v>1.8999999999999906</v>
      </c>
      <c r="AB4" s="67" t="s">
        <v>183</v>
      </c>
      <c r="AC4" s="67" t="s">
        <v>183</v>
      </c>
      <c r="AD4" s="67">
        <v>147</v>
      </c>
      <c r="AE4" s="67">
        <v>145.6</v>
      </c>
      <c r="AG4" s="67">
        <v>0.1</v>
      </c>
      <c r="AH4" s="67">
        <v>0.9523809523809601</v>
      </c>
      <c r="AI4" s="67">
        <v>20.100000000000001</v>
      </c>
      <c r="AJ4" s="67">
        <v>704</v>
      </c>
      <c r="AK4" s="67">
        <v>8.3903080385171513</v>
      </c>
      <c r="AL4" s="67">
        <v>92.631578947368425</v>
      </c>
      <c r="AM4" s="67">
        <v>8.41</v>
      </c>
      <c r="AO4" s="67">
        <v>0.23469890965206464</v>
      </c>
      <c r="AP4" s="79">
        <v>43704</v>
      </c>
      <c r="AR4" s="67">
        <v>100</v>
      </c>
      <c r="AT4" s="67">
        <v>98.4</v>
      </c>
      <c r="AV4" s="67">
        <v>1.5999999999999903</v>
      </c>
      <c r="AW4" s="67" t="s">
        <v>183</v>
      </c>
      <c r="AX4" s="67">
        <v>2</v>
      </c>
      <c r="AY4" s="67" t="s">
        <v>46</v>
      </c>
      <c r="AZ4" s="67">
        <v>2</v>
      </c>
      <c r="BA4" s="67">
        <v>2</v>
      </c>
      <c r="BB4" s="67">
        <v>2</v>
      </c>
      <c r="BC4" s="67">
        <v>2</v>
      </c>
      <c r="BD4" s="67">
        <v>2</v>
      </c>
      <c r="BE4" s="67">
        <v>2</v>
      </c>
      <c r="BF4" s="67">
        <v>2</v>
      </c>
      <c r="BG4" s="67">
        <v>2</v>
      </c>
      <c r="BH4" s="67">
        <v>2</v>
      </c>
      <c r="BI4" s="67">
        <v>2</v>
      </c>
      <c r="BJ4" s="67">
        <v>2</v>
      </c>
      <c r="BK4" s="67">
        <v>2</v>
      </c>
      <c r="BL4" s="67">
        <v>2</v>
      </c>
      <c r="CA4" s="79">
        <v>43718</v>
      </c>
      <c r="CB4" s="80">
        <v>0.60763888888888895</v>
      </c>
      <c r="CC4" s="67" t="s">
        <v>51</v>
      </c>
      <c r="CD4" s="67" t="s">
        <v>46</v>
      </c>
      <c r="CE4" s="67">
        <v>20.23</v>
      </c>
      <c r="CF4" s="67">
        <v>20.2</v>
      </c>
      <c r="CG4" s="67">
        <v>0.14829461196244065</v>
      </c>
      <c r="CH4" s="67">
        <v>6.13</v>
      </c>
      <c r="CI4" s="67">
        <v>6.33</v>
      </c>
      <c r="CJ4" s="67">
        <v>3.2626427406199143</v>
      </c>
      <c r="CK4" s="67">
        <v>4.9000000000000004</v>
      </c>
      <c r="CL4" s="67">
        <v>5.03</v>
      </c>
      <c r="CM4" s="67">
        <v>2.6530612244897833</v>
      </c>
      <c r="CN4" s="67">
        <v>45</v>
      </c>
      <c r="CO4" s="67">
        <v>45.7</v>
      </c>
      <c r="CP4" s="67">
        <v>1.5555555555555545</v>
      </c>
      <c r="CQ4" s="67">
        <v>4.38</v>
      </c>
      <c r="CR4" s="67">
        <v>4.3499999999999996</v>
      </c>
      <c r="CS4" s="67">
        <v>0.68493150684931781</v>
      </c>
      <c r="CW4" s="67" t="s">
        <v>183</v>
      </c>
      <c r="CZ4" s="67" t="s">
        <v>55</v>
      </c>
      <c r="DA4" s="67" t="s">
        <v>54</v>
      </c>
      <c r="DB4" s="141" t="str">
        <f t="shared" ref="DB4:DB43" si="3">IF(MONTH(F4)=1,"Janeiro",IF(MONTH(F4)=2,"Fevereiro",IF(MONTH(F4)=3,"Março",IF(MONTH(F4)=4,"Abril",IF(MONTH(F4)=5,"Maio",IF(MONTH(F4)=6,"Junho",IF(MONTH(F4)=7,"Julho",IF(MONTH(F4)=8,"Agosto",IF(MONTH(F4=9),"Setembro",IF(MONTH(F4=10),"Outubro",IF(MONTH(F4=11),"Novembro","Dezembro")))))))))))</f>
        <v>Agosto</v>
      </c>
      <c r="DC4" s="141">
        <f t="shared" ref="DC4:DC43" si="4">YEAR(F4)</f>
        <v>2019</v>
      </c>
      <c r="DD4" s="142" t="str">
        <f t="shared" ref="DD4:DD43" si="5">B4&amp;" "&amp;C4</f>
        <v>COD002  Estação 2</v>
      </c>
      <c r="DJ4" s="78"/>
      <c r="DL4" s="78"/>
      <c r="DM4" s="78"/>
      <c r="DN4" s="78"/>
      <c r="DO4" s="78"/>
    </row>
    <row r="5" spans="1:121" ht="15" customHeight="1" x14ac:dyDescent="0.25">
      <c r="A5" s="78">
        <v>1190910</v>
      </c>
      <c r="B5" s="11" t="s">
        <v>322</v>
      </c>
      <c r="C5" s="12" t="s">
        <v>341</v>
      </c>
      <c r="D5" s="12" t="s">
        <v>316</v>
      </c>
      <c r="E5" s="12" t="s">
        <v>319</v>
      </c>
      <c r="F5" s="79">
        <v>43718</v>
      </c>
      <c r="G5" s="80">
        <v>0.59027777777777779</v>
      </c>
      <c r="I5" s="67">
        <v>27</v>
      </c>
      <c r="J5" s="67">
        <v>26.81</v>
      </c>
      <c r="K5" s="67">
        <v>0.70370370370370638</v>
      </c>
      <c r="L5" s="67">
        <v>10</v>
      </c>
      <c r="O5" s="67">
        <v>26.82</v>
      </c>
      <c r="R5" s="67">
        <v>10.119999999999999</v>
      </c>
      <c r="AA5" s="67">
        <v>1.2000000000000011</v>
      </c>
      <c r="AB5" s="67" t="s">
        <v>183</v>
      </c>
      <c r="AC5" s="67" t="s">
        <v>183</v>
      </c>
      <c r="AD5" s="67">
        <v>147</v>
      </c>
      <c r="AE5" s="67">
        <v>147</v>
      </c>
      <c r="AG5" s="67">
        <v>0.3</v>
      </c>
      <c r="AH5" s="67">
        <v>0</v>
      </c>
      <c r="AI5" s="67">
        <v>26.67</v>
      </c>
      <c r="AJ5" s="67">
        <v>697.6</v>
      </c>
      <c r="AK5" s="67">
        <v>7.3345919822557617</v>
      </c>
      <c r="AL5" s="67">
        <v>91.789473684210535</v>
      </c>
      <c r="AM5" s="67">
        <v>7.3</v>
      </c>
      <c r="AN5" s="67">
        <v>91.8</v>
      </c>
      <c r="AO5" s="67">
        <v>0.47162790158536971</v>
      </c>
      <c r="AP5" s="79">
        <v>43718</v>
      </c>
      <c r="AR5" s="67">
        <v>106</v>
      </c>
      <c r="AT5" s="67">
        <v>99.16</v>
      </c>
      <c r="AV5" s="67">
        <v>6.4528301886792487</v>
      </c>
      <c r="AW5" s="67" t="s">
        <v>183</v>
      </c>
      <c r="AX5" s="67">
        <v>2</v>
      </c>
      <c r="AY5" s="67" t="s">
        <v>46</v>
      </c>
      <c r="AZ5" s="67">
        <v>2</v>
      </c>
      <c r="BA5" s="67">
        <v>2</v>
      </c>
      <c r="BB5" s="67">
        <v>2</v>
      </c>
      <c r="BC5" s="67">
        <v>2</v>
      </c>
      <c r="BD5" s="67">
        <v>2</v>
      </c>
      <c r="BE5" s="67">
        <v>2</v>
      </c>
      <c r="BF5" s="67">
        <v>2</v>
      </c>
      <c r="BG5" s="67">
        <v>2</v>
      </c>
      <c r="BH5" s="67">
        <v>2</v>
      </c>
      <c r="BI5" s="67">
        <v>2</v>
      </c>
      <c r="BJ5" s="67">
        <v>2</v>
      </c>
      <c r="BK5" s="67">
        <v>2</v>
      </c>
      <c r="BL5" s="67">
        <v>2</v>
      </c>
      <c r="CA5" s="79">
        <v>43740</v>
      </c>
      <c r="CC5" s="67" t="s">
        <v>51</v>
      </c>
      <c r="CD5" s="67" t="s">
        <v>46</v>
      </c>
      <c r="CE5" s="67">
        <v>19.59</v>
      </c>
      <c r="CF5" s="67">
        <v>19.62</v>
      </c>
      <c r="CG5" s="67">
        <v>0.15313935681471325</v>
      </c>
      <c r="CH5" s="67">
        <v>3.87</v>
      </c>
      <c r="CI5" s="67">
        <v>6.06</v>
      </c>
      <c r="CJ5" s="67">
        <v>56.589147286821692</v>
      </c>
      <c r="CK5" s="67">
        <v>4.9800000000000004</v>
      </c>
      <c r="CL5" s="67">
        <v>4.9000000000000004</v>
      </c>
      <c r="CM5" s="67">
        <v>1.6064257028112428</v>
      </c>
      <c r="CN5" s="67">
        <v>34.4</v>
      </c>
      <c r="CO5" s="67">
        <v>34</v>
      </c>
      <c r="CP5" s="67">
        <v>1.1627906976744096</v>
      </c>
      <c r="CQ5" s="67">
        <v>4.5</v>
      </c>
      <c r="CR5" s="67">
        <v>4.26</v>
      </c>
      <c r="CS5" s="67">
        <v>5.3333333333333339</v>
      </c>
      <c r="CW5" s="67" t="s">
        <v>183</v>
      </c>
      <c r="CZ5" s="67" t="s">
        <v>57</v>
      </c>
      <c r="DA5" s="67" t="s">
        <v>56</v>
      </c>
      <c r="DB5" s="141" t="str">
        <f t="shared" si="3"/>
        <v>Setembro</v>
      </c>
      <c r="DC5" s="141">
        <f t="shared" si="4"/>
        <v>2019</v>
      </c>
      <c r="DD5" s="142" t="str">
        <f t="shared" si="5"/>
        <v>COD003 Estação 3</v>
      </c>
      <c r="DJ5" s="78"/>
      <c r="DL5" s="78"/>
      <c r="DM5" s="78"/>
      <c r="DN5" s="78"/>
      <c r="DO5" s="78"/>
    </row>
    <row r="6" spans="1:121" ht="15" customHeight="1" x14ac:dyDescent="0.25">
      <c r="A6" s="78">
        <v>1191002</v>
      </c>
      <c r="B6" s="11" t="s">
        <v>323</v>
      </c>
      <c r="C6" s="12" t="s">
        <v>342</v>
      </c>
      <c r="D6" s="12" t="s">
        <v>317</v>
      </c>
      <c r="E6" s="12" t="s">
        <v>314</v>
      </c>
      <c r="F6" s="79">
        <v>43740</v>
      </c>
      <c r="G6" s="80">
        <v>0.4291666666666667</v>
      </c>
      <c r="K6" s="67" t="s">
        <v>183</v>
      </c>
      <c r="AA6" s="67" t="s">
        <v>183</v>
      </c>
      <c r="AB6" s="67" t="s">
        <v>183</v>
      </c>
      <c r="AC6" s="67" t="s">
        <v>183</v>
      </c>
      <c r="AH6" s="67" t="s">
        <v>183</v>
      </c>
      <c r="AK6" s="67" t="s">
        <v>42</v>
      </c>
      <c r="AL6" s="67" t="s">
        <v>42</v>
      </c>
      <c r="AO6" s="67" t="s">
        <v>183</v>
      </c>
      <c r="AV6" s="67" t="s">
        <v>183</v>
      </c>
      <c r="AW6" s="67" t="s">
        <v>183</v>
      </c>
      <c r="AX6" s="67">
        <v>1</v>
      </c>
      <c r="AZ6" s="67">
        <v>2</v>
      </c>
      <c r="BA6" s="67">
        <v>2</v>
      </c>
      <c r="BB6" s="67">
        <v>2</v>
      </c>
      <c r="BC6" s="67">
        <v>2</v>
      </c>
      <c r="BD6" s="67">
        <v>2</v>
      </c>
      <c r="BE6" s="67">
        <v>2</v>
      </c>
      <c r="BF6" s="67">
        <v>2</v>
      </c>
      <c r="BG6" s="67">
        <v>2</v>
      </c>
      <c r="BH6" s="67">
        <v>2</v>
      </c>
      <c r="BI6" s="67">
        <v>2</v>
      </c>
      <c r="BJ6" s="67">
        <v>2</v>
      </c>
      <c r="BK6" s="67">
        <v>2</v>
      </c>
      <c r="BL6" s="67">
        <v>2</v>
      </c>
      <c r="CA6" s="79">
        <v>43753</v>
      </c>
      <c r="CB6" s="80">
        <v>0.52430555555555558</v>
      </c>
      <c r="CC6" s="67" t="s">
        <v>51</v>
      </c>
      <c r="CD6" s="67" t="s">
        <v>50</v>
      </c>
      <c r="CE6" s="67">
        <v>21.43</v>
      </c>
      <c r="CG6" s="67">
        <v>100</v>
      </c>
      <c r="CH6" s="67">
        <v>6.39</v>
      </c>
      <c r="CJ6" s="67">
        <v>100</v>
      </c>
      <c r="CK6" s="67">
        <v>4.5</v>
      </c>
      <c r="CM6" s="67">
        <v>100</v>
      </c>
      <c r="CN6" s="67">
        <v>40.799999999999997</v>
      </c>
      <c r="CP6" s="67">
        <v>100</v>
      </c>
      <c r="CQ6" s="67">
        <v>4.01</v>
      </c>
      <c r="CS6" s="67">
        <v>100</v>
      </c>
      <c r="CW6" s="67" t="s">
        <v>183</v>
      </c>
      <c r="CX6" s="67">
        <v>5</v>
      </c>
      <c r="CZ6" s="67" t="s">
        <v>56</v>
      </c>
      <c r="DA6" s="67" t="s">
        <v>55</v>
      </c>
      <c r="DB6" s="141" t="str">
        <f t="shared" si="3"/>
        <v>Setembro</v>
      </c>
      <c r="DC6" s="141">
        <f t="shared" si="4"/>
        <v>2019</v>
      </c>
      <c r="DD6" s="142" t="str">
        <f t="shared" si="5"/>
        <v>COD004 Estação 4</v>
      </c>
      <c r="DJ6" s="78"/>
      <c r="DL6" s="78"/>
      <c r="DM6" s="78"/>
      <c r="DN6" s="78"/>
      <c r="DO6" s="78"/>
    </row>
    <row r="7" spans="1:121" ht="15" customHeight="1" x14ac:dyDescent="0.25">
      <c r="A7" s="78">
        <v>1191015</v>
      </c>
      <c r="B7" s="11" t="s">
        <v>324</v>
      </c>
      <c r="C7" s="12" t="s">
        <v>343</v>
      </c>
      <c r="D7" s="12" t="s">
        <v>318</v>
      </c>
      <c r="E7" s="12" t="s">
        <v>315</v>
      </c>
      <c r="F7" s="79">
        <v>43753</v>
      </c>
      <c r="G7" s="80">
        <v>0.50694444444444442</v>
      </c>
      <c r="I7" s="67">
        <v>26</v>
      </c>
      <c r="J7" s="67">
        <v>26.06</v>
      </c>
      <c r="K7" s="67">
        <v>0.23076923076923439</v>
      </c>
      <c r="L7" s="67">
        <v>7</v>
      </c>
      <c r="O7" s="67">
        <v>26.06</v>
      </c>
      <c r="R7" s="67">
        <v>7.04</v>
      </c>
      <c r="U7" s="67">
        <v>-48</v>
      </c>
      <c r="AA7" s="67">
        <v>0.57142857142857828</v>
      </c>
      <c r="AB7" s="67" t="s">
        <v>183</v>
      </c>
      <c r="AC7" s="67" t="s">
        <v>183</v>
      </c>
      <c r="AD7" s="67">
        <v>147</v>
      </c>
      <c r="AE7" s="67">
        <v>147.1</v>
      </c>
      <c r="AF7" s="67">
        <v>0.47</v>
      </c>
      <c r="AH7" s="67">
        <v>6.8027210884347156E-2</v>
      </c>
      <c r="AI7" s="67">
        <v>25.11</v>
      </c>
      <c r="AJ7" s="67">
        <v>700.3</v>
      </c>
      <c r="AK7" s="67">
        <v>7.5782798673521725</v>
      </c>
      <c r="AL7" s="67">
        <v>92.14473684210526</v>
      </c>
      <c r="AM7" s="67">
        <v>7.64</v>
      </c>
      <c r="AN7" s="67">
        <v>92.7</v>
      </c>
      <c r="AO7" s="67">
        <v>0.81443459107022331</v>
      </c>
      <c r="AP7" s="79">
        <v>43752</v>
      </c>
      <c r="AR7" s="67">
        <v>97.4</v>
      </c>
      <c r="AT7" s="67">
        <v>99.5</v>
      </c>
      <c r="AV7" s="67">
        <v>2.1560574948665145</v>
      </c>
      <c r="AW7" s="67" t="s">
        <v>183</v>
      </c>
      <c r="AX7" s="67">
        <v>1</v>
      </c>
      <c r="AY7" s="67" t="s">
        <v>46</v>
      </c>
      <c r="AZ7" s="67">
        <v>2</v>
      </c>
      <c r="BA7" s="67">
        <v>2</v>
      </c>
      <c r="BB7" s="67">
        <v>2</v>
      </c>
      <c r="BC7" s="67">
        <v>2</v>
      </c>
      <c r="BD7" s="67">
        <v>2</v>
      </c>
      <c r="BE7" s="67">
        <v>2</v>
      </c>
      <c r="BF7" s="67">
        <v>2</v>
      </c>
      <c r="BG7" s="67">
        <v>2</v>
      </c>
      <c r="BH7" s="67">
        <v>2</v>
      </c>
      <c r="BI7" s="67">
        <v>2</v>
      </c>
      <c r="BJ7" s="67">
        <v>1</v>
      </c>
      <c r="BK7" s="67">
        <v>2</v>
      </c>
      <c r="BL7" s="67">
        <v>2</v>
      </c>
      <c r="CA7" s="79">
        <v>43755</v>
      </c>
      <c r="CD7" s="67" t="s">
        <v>46</v>
      </c>
      <c r="CG7" s="67" t="s">
        <v>183</v>
      </c>
      <c r="CJ7" s="67" t="s">
        <v>183</v>
      </c>
      <c r="CM7" s="67" t="s">
        <v>183</v>
      </c>
      <c r="CP7" s="67" t="s">
        <v>183</v>
      </c>
      <c r="CS7" s="67" t="s">
        <v>183</v>
      </c>
      <c r="CW7" s="67" t="s">
        <v>183</v>
      </c>
      <c r="CZ7" s="67" t="s">
        <v>56</v>
      </c>
      <c r="DA7" s="67" t="s">
        <v>55</v>
      </c>
      <c r="DB7" s="141" t="str">
        <f t="shared" si="3"/>
        <v>Setembro</v>
      </c>
      <c r="DC7" s="141">
        <f t="shared" si="4"/>
        <v>2019</v>
      </c>
      <c r="DD7" s="142" t="str">
        <f t="shared" si="5"/>
        <v>COD005 Estação 5</v>
      </c>
      <c r="DJ7" s="78"/>
      <c r="DL7" s="78"/>
      <c r="DM7" s="78"/>
      <c r="DN7" s="78"/>
      <c r="DO7" s="78"/>
    </row>
    <row r="8" spans="1:121" ht="15" customHeight="1" x14ac:dyDescent="0.25">
      <c r="A8" s="78">
        <v>1191017</v>
      </c>
      <c r="B8" s="11" t="s">
        <v>324</v>
      </c>
      <c r="C8" s="12" t="s">
        <v>343</v>
      </c>
      <c r="D8" s="12" t="s">
        <v>55</v>
      </c>
      <c r="E8" s="12" t="s">
        <v>316</v>
      </c>
      <c r="F8" s="79">
        <v>43755</v>
      </c>
      <c r="I8" s="67">
        <v>24.5</v>
      </c>
      <c r="J8" s="67">
        <v>24.2</v>
      </c>
      <c r="K8" s="67">
        <v>1.2244897959183709</v>
      </c>
      <c r="L8" s="67">
        <v>7</v>
      </c>
      <c r="O8" s="67">
        <v>24.11</v>
      </c>
      <c r="R8" s="67">
        <v>7.23</v>
      </c>
      <c r="U8" s="67">
        <v>-25.7</v>
      </c>
      <c r="AA8" s="67">
        <v>3.2857142857142918</v>
      </c>
      <c r="AB8" s="67" t="s">
        <v>183</v>
      </c>
      <c r="AC8" s="67" t="s">
        <v>183</v>
      </c>
      <c r="AD8" s="67">
        <v>147</v>
      </c>
      <c r="AE8" s="67">
        <v>146</v>
      </c>
      <c r="AG8" s="67">
        <v>0.3</v>
      </c>
      <c r="AH8" s="67">
        <v>0.68027210884353817</v>
      </c>
      <c r="AI8" s="67">
        <v>23.13</v>
      </c>
      <c r="AJ8" s="67">
        <v>703.4</v>
      </c>
      <c r="AK8" s="67">
        <v>7.9019178548567695</v>
      </c>
      <c r="AL8" s="67">
        <v>92.55263157894737</v>
      </c>
      <c r="AM8" s="67">
        <v>7.85</v>
      </c>
      <c r="AN8" s="67">
        <v>91.7</v>
      </c>
      <c r="AO8" s="67">
        <v>0.6570285316856217</v>
      </c>
      <c r="AP8" s="79">
        <v>43752</v>
      </c>
      <c r="AR8" s="67">
        <v>102</v>
      </c>
      <c r="AT8" s="67">
        <v>95.7</v>
      </c>
      <c r="AV8" s="67">
        <v>6.1764705882352944</v>
      </c>
      <c r="AW8" s="67" t="s">
        <v>183</v>
      </c>
      <c r="AX8" s="67">
        <v>2</v>
      </c>
      <c r="AY8" s="67" t="s">
        <v>46</v>
      </c>
      <c r="AZ8" s="67">
        <v>2</v>
      </c>
      <c r="BA8" s="67">
        <v>2</v>
      </c>
      <c r="BB8" s="67">
        <v>2</v>
      </c>
      <c r="BC8" s="67">
        <v>2</v>
      </c>
      <c r="BD8" s="67">
        <v>2</v>
      </c>
      <c r="BE8" s="67">
        <v>2</v>
      </c>
      <c r="BF8" s="67">
        <v>2</v>
      </c>
      <c r="BG8" s="67">
        <v>2</v>
      </c>
      <c r="BH8" s="67">
        <v>2</v>
      </c>
      <c r="BI8" s="67">
        <v>2</v>
      </c>
      <c r="BJ8" s="67">
        <v>2</v>
      </c>
      <c r="BK8" s="67">
        <v>2</v>
      </c>
      <c r="BL8" s="67">
        <v>2</v>
      </c>
      <c r="CA8" s="79">
        <v>43775</v>
      </c>
      <c r="CB8" s="80">
        <v>0.58680555555555558</v>
      </c>
      <c r="CC8" s="67" t="s">
        <v>51</v>
      </c>
      <c r="CD8" s="67" t="s">
        <v>46</v>
      </c>
      <c r="CE8" s="67">
        <v>22.05</v>
      </c>
      <c r="CF8" s="67">
        <v>22.08</v>
      </c>
      <c r="CG8" s="67">
        <v>0.13605442176869431</v>
      </c>
      <c r="CH8" s="67">
        <v>6.38</v>
      </c>
      <c r="CI8" s="67">
        <v>6.15</v>
      </c>
      <c r="CJ8" s="67">
        <v>3.6050156739811823</v>
      </c>
      <c r="CK8" s="67">
        <v>3.8</v>
      </c>
      <c r="CL8" s="67">
        <v>3.6</v>
      </c>
      <c r="CM8" s="67">
        <v>5.2631578947368363</v>
      </c>
      <c r="CN8" s="67">
        <v>45.3</v>
      </c>
      <c r="CO8" s="67">
        <v>44.9</v>
      </c>
      <c r="CP8" s="67">
        <v>0.88300220750551217</v>
      </c>
      <c r="CQ8" s="67">
        <v>8.35</v>
      </c>
      <c r="CR8" s="67">
        <v>7.61</v>
      </c>
      <c r="CS8" s="67">
        <v>8.8622754491017872</v>
      </c>
      <c r="CW8" s="67" t="s">
        <v>183</v>
      </c>
      <c r="CX8" s="67">
        <v>4.49</v>
      </c>
      <c r="CZ8" s="67" t="s">
        <v>56</v>
      </c>
      <c r="DA8" s="67" t="s">
        <v>54</v>
      </c>
      <c r="DB8" s="141" t="str">
        <f t="shared" si="3"/>
        <v>Setembro</v>
      </c>
      <c r="DC8" s="141">
        <f t="shared" si="4"/>
        <v>2019</v>
      </c>
      <c r="DD8" s="142" t="str">
        <f t="shared" si="5"/>
        <v>COD005 Estação 5</v>
      </c>
      <c r="DJ8" s="78"/>
      <c r="DL8" s="78"/>
      <c r="DM8" s="78"/>
      <c r="DN8" s="78"/>
      <c r="DO8" s="78"/>
    </row>
    <row r="9" spans="1:121" ht="15" customHeight="1" x14ac:dyDescent="0.25">
      <c r="A9" s="78">
        <v>1191106</v>
      </c>
      <c r="B9" s="11" t="s">
        <v>324</v>
      </c>
      <c r="C9" s="12" t="s">
        <v>343</v>
      </c>
      <c r="D9" s="12" t="s">
        <v>54</v>
      </c>
      <c r="E9" s="12" t="s">
        <v>317</v>
      </c>
      <c r="F9" s="79">
        <v>43775</v>
      </c>
      <c r="G9" s="80">
        <v>0.57291666666666663</v>
      </c>
      <c r="I9" s="67">
        <v>24</v>
      </c>
      <c r="J9" s="67">
        <v>23.91</v>
      </c>
      <c r="K9" s="67">
        <v>0.37500000000000311</v>
      </c>
      <c r="L9" s="67">
        <v>7</v>
      </c>
      <c r="O9" s="67">
        <v>23.9</v>
      </c>
      <c r="R9" s="67">
        <v>7.15</v>
      </c>
      <c r="AA9" s="67">
        <v>2.1428571428571574</v>
      </c>
      <c r="AB9" s="67" t="s">
        <v>183</v>
      </c>
      <c r="AC9" s="67" t="s">
        <v>183</v>
      </c>
      <c r="AD9" s="67">
        <v>147</v>
      </c>
      <c r="AE9" s="67">
        <v>146.9</v>
      </c>
      <c r="AG9" s="67">
        <v>0</v>
      </c>
      <c r="AH9" s="67">
        <v>6.8027210884347156E-2</v>
      </c>
      <c r="AI9" s="67">
        <v>21.86</v>
      </c>
      <c r="AJ9" s="67">
        <v>699.4</v>
      </c>
      <c r="AK9" s="67">
        <v>8.0501382284723668</v>
      </c>
      <c r="AL9" s="67">
        <v>92.026315789473685</v>
      </c>
      <c r="AM9" s="67">
        <v>8.0399999999999991</v>
      </c>
      <c r="AN9" s="67">
        <v>92</v>
      </c>
      <c r="AO9" s="67">
        <v>0.12593856384366386</v>
      </c>
      <c r="AP9" s="79">
        <v>43775</v>
      </c>
      <c r="AR9" s="67">
        <v>98</v>
      </c>
      <c r="AT9" s="67">
        <v>96.52</v>
      </c>
      <c r="AV9" s="67">
        <v>1.5102040816326601</v>
      </c>
      <c r="AW9" s="67" t="s">
        <v>183</v>
      </c>
      <c r="AX9" s="67">
        <v>2</v>
      </c>
      <c r="AY9" s="67" t="s">
        <v>46</v>
      </c>
      <c r="AZ9" s="67">
        <v>2</v>
      </c>
      <c r="BA9" s="67">
        <v>2</v>
      </c>
      <c r="BB9" s="67">
        <v>2</v>
      </c>
      <c r="BC9" s="67">
        <v>2</v>
      </c>
      <c r="BD9" s="67">
        <v>2</v>
      </c>
      <c r="BE9" s="67">
        <v>2</v>
      </c>
      <c r="BF9" s="67">
        <v>1</v>
      </c>
      <c r="BG9" s="67">
        <v>2</v>
      </c>
      <c r="BH9" s="67">
        <v>2</v>
      </c>
      <c r="BI9" s="67">
        <v>2</v>
      </c>
      <c r="BJ9" s="67">
        <v>1</v>
      </c>
      <c r="BK9" s="67">
        <v>2</v>
      </c>
      <c r="BL9" s="67">
        <v>2</v>
      </c>
      <c r="CA9" s="79">
        <v>43805</v>
      </c>
      <c r="CB9" s="80">
        <v>0.49305555555555558</v>
      </c>
      <c r="CC9" s="79" t="s">
        <v>51</v>
      </c>
      <c r="CD9" s="67" t="s">
        <v>46</v>
      </c>
      <c r="CE9" s="67">
        <v>21.11</v>
      </c>
      <c r="CF9" s="67">
        <v>21.14</v>
      </c>
      <c r="CG9" s="67">
        <v>0.142112742775935</v>
      </c>
      <c r="CH9" s="67">
        <v>6.25</v>
      </c>
      <c r="CI9" s="67">
        <v>6.16</v>
      </c>
      <c r="CJ9" s="67">
        <v>1.4399999999999968</v>
      </c>
      <c r="CK9" s="67">
        <v>3.08</v>
      </c>
      <c r="CL9" s="67">
        <v>2.96</v>
      </c>
      <c r="CM9" s="67">
        <v>3.8961038961038974</v>
      </c>
      <c r="CN9" s="67">
        <v>71.7</v>
      </c>
      <c r="CO9" s="67">
        <v>71.3</v>
      </c>
      <c r="CP9" s="67">
        <v>0.55788005578801814</v>
      </c>
      <c r="CQ9" s="67">
        <v>35.659999999999997</v>
      </c>
      <c r="CR9" s="67">
        <v>35.44</v>
      </c>
      <c r="CS9" s="67">
        <v>0.61693774537295853</v>
      </c>
      <c r="CU9" s="67">
        <v>4.01</v>
      </c>
      <c r="CW9" s="67" t="s">
        <v>183</v>
      </c>
      <c r="CX9" s="67">
        <v>5.52</v>
      </c>
      <c r="CZ9" s="67" t="s">
        <v>54</v>
      </c>
      <c r="DA9" s="67" t="s">
        <v>55</v>
      </c>
      <c r="DB9" s="141" t="str">
        <f t="shared" si="3"/>
        <v>Setembro</v>
      </c>
      <c r="DC9" s="141">
        <f t="shared" si="4"/>
        <v>2019</v>
      </c>
      <c r="DD9" s="142" t="str">
        <f t="shared" si="5"/>
        <v>COD005 Estação 5</v>
      </c>
      <c r="DJ9" s="78"/>
      <c r="DL9" s="78"/>
      <c r="DM9" s="78"/>
      <c r="DN9" s="78"/>
      <c r="DO9" s="78"/>
    </row>
    <row r="10" spans="1:121" ht="15" customHeight="1" x14ac:dyDescent="0.25">
      <c r="A10" s="78">
        <v>1191206</v>
      </c>
      <c r="B10" s="11" t="s">
        <v>324</v>
      </c>
      <c r="C10" s="12" t="s">
        <v>343</v>
      </c>
      <c r="D10" s="12" t="s">
        <v>319</v>
      </c>
      <c r="E10" s="12" t="s">
        <v>318</v>
      </c>
      <c r="F10" s="79">
        <v>43805</v>
      </c>
      <c r="G10" s="80">
        <v>0.48472222222222222</v>
      </c>
      <c r="H10" s="80">
        <v>0.50486111111111109</v>
      </c>
      <c r="I10" s="67">
        <v>22.5</v>
      </c>
      <c r="J10" s="67">
        <v>22.45</v>
      </c>
      <c r="K10" s="67">
        <v>0.22222222222222365</v>
      </c>
      <c r="L10" s="67">
        <v>7</v>
      </c>
      <c r="O10" s="67">
        <v>22.48</v>
      </c>
      <c r="R10" s="67">
        <v>7.27</v>
      </c>
      <c r="U10" s="67">
        <v>-28.1</v>
      </c>
      <c r="AA10" s="67">
        <v>3.8571428571428479</v>
      </c>
      <c r="AB10" s="67" t="s">
        <v>183</v>
      </c>
      <c r="AC10" s="67" t="s">
        <v>183</v>
      </c>
      <c r="AD10" s="67">
        <v>147</v>
      </c>
      <c r="AE10" s="67">
        <v>143.69999999999999</v>
      </c>
      <c r="AG10" s="67">
        <v>0.1</v>
      </c>
      <c r="AH10" s="67">
        <v>2.2448979591836782</v>
      </c>
      <c r="AI10" s="67">
        <v>21.59</v>
      </c>
      <c r="AJ10" s="67">
        <v>696.2</v>
      </c>
      <c r="AK10" s="67">
        <v>8.0545306588411272</v>
      </c>
      <c r="AL10" s="67">
        <v>91.605263157894754</v>
      </c>
      <c r="AM10" s="67">
        <v>8.07</v>
      </c>
      <c r="AN10" s="67">
        <v>91.5</v>
      </c>
      <c r="AO10" s="67">
        <v>0.19205763580889545</v>
      </c>
      <c r="AP10" s="79">
        <v>43802</v>
      </c>
      <c r="AR10" s="67">
        <v>111</v>
      </c>
      <c r="AT10" s="67">
        <v>95.7</v>
      </c>
      <c r="AV10" s="67">
        <v>13.783783783783775</v>
      </c>
      <c r="AW10" s="67" t="s">
        <v>183</v>
      </c>
      <c r="AX10" s="67">
        <v>2</v>
      </c>
      <c r="AY10" s="67" t="s">
        <v>46</v>
      </c>
      <c r="AZ10" s="67">
        <v>2</v>
      </c>
      <c r="BA10" s="67">
        <v>2</v>
      </c>
      <c r="BB10" s="67">
        <v>2</v>
      </c>
      <c r="BC10" s="67">
        <v>2</v>
      </c>
      <c r="BD10" s="67">
        <v>2</v>
      </c>
      <c r="BE10" s="67">
        <v>2</v>
      </c>
      <c r="BF10" s="67">
        <v>2</v>
      </c>
      <c r="BG10" s="67">
        <v>2</v>
      </c>
      <c r="BH10" s="67">
        <v>2</v>
      </c>
      <c r="BI10" s="67">
        <v>2</v>
      </c>
      <c r="BJ10" s="67">
        <v>2</v>
      </c>
      <c r="BK10" s="67">
        <v>2</v>
      </c>
      <c r="BL10" s="67">
        <v>2</v>
      </c>
      <c r="CA10" s="79">
        <v>43800</v>
      </c>
      <c r="CC10" s="79"/>
      <c r="CG10" s="67" t="s">
        <v>183</v>
      </c>
      <c r="CJ10" s="67" t="s">
        <v>183</v>
      </c>
      <c r="CM10" s="67" t="s">
        <v>183</v>
      </c>
      <c r="CP10" s="67" t="s">
        <v>183</v>
      </c>
      <c r="CS10" s="67" t="s">
        <v>183</v>
      </c>
      <c r="CW10" s="67" t="s">
        <v>183</v>
      </c>
      <c r="DB10" s="141" t="str">
        <f t="shared" si="3"/>
        <v>Setembro</v>
      </c>
      <c r="DC10" s="141">
        <f t="shared" si="4"/>
        <v>2019</v>
      </c>
      <c r="DD10" s="142" t="str">
        <f t="shared" si="5"/>
        <v>COD005 Estação 5</v>
      </c>
      <c r="DJ10" s="78"/>
      <c r="DL10" s="78"/>
      <c r="DM10" s="78"/>
      <c r="DN10" s="78"/>
      <c r="DO10" s="78"/>
    </row>
    <row r="11" spans="1:121" ht="15" customHeight="1" x14ac:dyDescent="0.25">
      <c r="A11" s="78">
        <v>1191220</v>
      </c>
      <c r="B11" s="11" t="s">
        <v>324</v>
      </c>
      <c r="C11" s="12" t="s">
        <v>343</v>
      </c>
      <c r="D11" s="12" t="s">
        <v>314</v>
      </c>
      <c r="E11" s="12" t="s">
        <v>55</v>
      </c>
      <c r="F11" s="79">
        <v>43819</v>
      </c>
      <c r="G11" s="80">
        <v>0.44444444444444442</v>
      </c>
      <c r="I11" s="67">
        <v>29.1</v>
      </c>
      <c r="J11" s="67">
        <v>28.9</v>
      </c>
      <c r="K11" s="67">
        <v>0.68728522336770626</v>
      </c>
      <c r="L11" s="67">
        <v>7</v>
      </c>
      <c r="O11" s="67">
        <v>28.88</v>
      </c>
      <c r="R11" s="67">
        <v>7.27</v>
      </c>
      <c r="U11" s="67">
        <v>-28.4</v>
      </c>
      <c r="AA11" s="67">
        <v>3.8571428571428479</v>
      </c>
      <c r="AB11" s="67" t="s">
        <v>183</v>
      </c>
      <c r="AC11" s="67" t="s">
        <v>183</v>
      </c>
      <c r="AD11" s="67">
        <v>147</v>
      </c>
      <c r="AE11" s="67">
        <v>144.30000000000001</v>
      </c>
      <c r="AH11" s="67">
        <v>1.8367346938775397</v>
      </c>
      <c r="AI11" s="67">
        <v>28.4</v>
      </c>
      <c r="AJ11" s="67">
        <v>698.6</v>
      </c>
      <c r="AK11" s="67">
        <v>7.1201700759431317</v>
      </c>
      <c r="AL11" s="67">
        <v>91.921052631578959</v>
      </c>
      <c r="AM11" s="67">
        <v>7.08</v>
      </c>
      <c r="AN11" s="67">
        <v>90.7</v>
      </c>
      <c r="AO11" s="67">
        <v>0.56417298343551803</v>
      </c>
      <c r="AP11" s="79">
        <v>43819</v>
      </c>
      <c r="AR11" s="67">
        <v>107</v>
      </c>
      <c r="AT11" s="67">
        <v>99.12</v>
      </c>
      <c r="AV11" s="67">
        <v>7.3644859813084107</v>
      </c>
      <c r="AW11" s="67" t="s">
        <v>183</v>
      </c>
      <c r="AX11" s="67">
        <v>2</v>
      </c>
      <c r="AY11" s="67" t="s">
        <v>46</v>
      </c>
      <c r="AZ11" s="67">
        <v>2</v>
      </c>
      <c r="BA11" s="67">
        <v>2</v>
      </c>
      <c r="BB11" s="67">
        <v>2</v>
      </c>
      <c r="BC11" s="67">
        <v>2</v>
      </c>
      <c r="BD11" s="67">
        <v>2</v>
      </c>
      <c r="BE11" s="67">
        <v>2</v>
      </c>
      <c r="BF11" s="67">
        <v>1</v>
      </c>
      <c r="BG11" s="67">
        <v>2</v>
      </c>
      <c r="BH11" s="67">
        <v>2</v>
      </c>
      <c r="BI11" s="67">
        <v>2</v>
      </c>
      <c r="BJ11" s="67">
        <v>2</v>
      </c>
      <c r="BK11" s="67">
        <v>2</v>
      </c>
      <c r="BL11" s="67">
        <v>2</v>
      </c>
      <c r="CA11" s="79">
        <v>43837</v>
      </c>
      <c r="CC11" s="79"/>
      <c r="CD11" s="67" t="s">
        <v>46</v>
      </c>
      <c r="CG11" s="67" t="s">
        <v>183</v>
      </c>
      <c r="CJ11" s="67" t="s">
        <v>183</v>
      </c>
      <c r="CM11" s="67" t="s">
        <v>183</v>
      </c>
      <c r="CP11" s="67" t="s">
        <v>183</v>
      </c>
      <c r="CS11" s="67" t="s">
        <v>183</v>
      </c>
      <c r="CW11" s="67" t="s">
        <v>183</v>
      </c>
      <c r="DB11" s="141" t="str">
        <f t="shared" si="3"/>
        <v>Setembro</v>
      </c>
      <c r="DC11" s="141">
        <f t="shared" si="4"/>
        <v>2019</v>
      </c>
      <c r="DD11" s="142" t="str">
        <f t="shared" si="5"/>
        <v>COD005 Estação 5</v>
      </c>
      <c r="DJ11" s="78"/>
      <c r="DL11" s="78"/>
      <c r="DM11" s="78"/>
      <c r="DN11" s="78"/>
      <c r="DO11" s="78"/>
    </row>
    <row r="12" spans="1:121" ht="15" customHeight="1" x14ac:dyDescent="0.25">
      <c r="A12" s="78">
        <v>1200107</v>
      </c>
      <c r="B12" s="11" t="s">
        <v>324</v>
      </c>
      <c r="C12" s="12" t="s">
        <v>343</v>
      </c>
      <c r="D12" s="12" t="s">
        <v>315</v>
      </c>
      <c r="E12" s="12" t="s">
        <v>54</v>
      </c>
      <c r="F12" s="79">
        <v>43837</v>
      </c>
      <c r="K12" s="67" t="s">
        <v>183</v>
      </c>
      <c r="AA12" s="67" t="s">
        <v>183</v>
      </c>
      <c r="AB12" s="67" t="s">
        <v>183</v>
      </c>
      <c r="AC12" s="67" t="s">
        <v>183</v>
      </c>
      <c r="AH12" s="67" t="s">
        <v>183</v>
      </c>
      <c r="AK12" s="67" t="s">
        <v>42</v>
      </c>
      <c r="AL12" s="67" t="s">
        <v>42</v>
      </c>
      <c r="AO12" s="67" t="s">
        <v>183</v>
      </c>
      <c r="AP12" s="79">
        <v>43836</v>
      </c>
      <c r="AR12" s="67">
        <v>104</v>
      </c>
      <c r="AT12" s="67">
        <v>103.63</v>
      </c>
      <c r="AV12" s="67">
        <v>0.35576923076923173</v>
      </c>
      <c r="AW12" s="67" t="s">
        <v>183</v>
      </c>
      <c r="AX12" s="67">
        <v>2</v>
      </c>
      <c r="AY12" s="67" t="s">
        <v>46</v>
      </c>
      <c r="AZ12" s="67">
        <v>2</v>
      </c>
      <c r="BA12" s="67">
        <v>2</v>
      </c>
      <c r="BB12" s="67">
        <v>2</v>
      </c>
      <c r="BC12" s="67">
        <v>2</v>
      </c>
      <c r="BD12" s="67">
        <v>2</v>
      </c>
      <c r="BE12" s="67">
        <v>2</v>
      </c>
      <c r="BF12" s="67">
        <v>2</v>
      </c>
      <c r="BG12" s="67">
        <v>2</v>
      </c>
      <c r="BH12" s="67">
        <v>2</v>
      </c>
      <c r="BI12" s="67">
        <v>2</v>
      </c>
      <c r="BJ12" s="67">
        <v>2</v>
      </c>
      <c r="BK12" s="67">
        <v>2</v>
      </c>
      <c r="BL12" s="67">
        <v>2</v>
      </c>
      <c r="CC12" s="79"/>
      <c r="DB12" s="141" t="str">
        <f t="shared" si="3"/>
        <v>Janeiro</v>
      </c>
      <c r="DC12" s="141">
        <f t="shared" si="4"/>
        <v>2020</v>
      </c>
      <c r="DD12" s="142" t="str">
        <f t="shared" si="5"/>
        <v>COD005 Estação 5</v>
      </c>
      <c r="DJ12" s="78"/>
      <c r="DL12" s="78"/>
      <c r="DM12" s="78"/>
      <c r="DN12" s="78"/>
      <c r="DO12" s="78"/>
    </row>
    <row r="13" spans="1:121" ht="15" customHeight="1" x14ac:dyDescent="0.25">
      <c r="A13" s="78">
        <v>20191106</v>
      </c>
      <c r="B13" s="11" t="s">
        <v>330</v>
      </c>
      <c r="C13" s="12" t="s">
        <v>349</v>
      </c>
      <c r="D13" s="12" t="s">
        <v>316</v>
      </c>
      <c r="E13" s="12" t="s">
        <v>319</v>
      </c>
      <c r="F13" s="79">
        <v>43775</v>
      </c>
      <c r="G13" s="80">
        <v>0.4236111111111111</v>
      </c>
      <c r="H13" s="80">
        <v>0.4513888888888889</v>
      </c>
      <c r="I13" s="67">
        <v>23.9</v>
      </c>
      <c r="J13" s="67">
        <v>24.13</v>
      </c>
      <c r="K13" s="67">
        <v>0.96234309623430825</v>
      </c>
      <c r="L13" s="67">
        <v>7</v>
      </c>
      <c r="O13" s="67">
        <v>23.91</v>
      </c>
      <c r="R13" s="67">
        <v>7.01</v>
      </c>
      <c r="AA13" s="67">
        <v>0.14285714285713347</v>
      </c>
      <c r="AB13" s="67" t="s">
        <v>183</v>
      </c>
      <c r="AC13" s="67" t="s">
        <v>183</v>
      </c>
      <c r="AD13" s="67">
        <v>147</v>
      </c>
      <c r="AE13" s="67">
        <v>147.1</v>
      </c>
      <c r="AG13" s="67">
        <v>0</v>
      </c>
      <c r="AH13" s="67">
        <v>6.8027210884347156E-2</v>
      </c>
      <c r="AI13" s="67">
        <v>20.3</v>
      </c>
      <c r="AJ13" s="67">
        <v>699</v>
      </c>
      <c r="AK13" s="67">
        <v>8.2960872511464601</v>
      </c>
      <c r="AL13" s="67">
        <v>91.973684210526315</v>
      </c>
      <c r="AM13" s="67">
        <v>8.4499999999999993</v>
      </c>
      <c r="AN13" s="67">
        <v>93.5</v>
      </c>
      <c r="AO13" s="67">
        <v>1.855245059437749</v>
      </c>
      <c r="AP13" s="79">
        <v>43775</v>
      </c>
      <c r="AR13" s="67">
        <v>98</v>
      </c>
      <c r="AT13" s="67">
        <v>99.22</v>
      </c>
      <c r="AV13" s="67">
        <v>1.2448979591836773</v>
      </c>
      <c r="AW13" s="67" t="s">
        <v>183</v>
      </c>
      <c r="AX13" s="67">
        <v>2</v>
      </c>
      <c r="AY13" s="67" t="s">
        <v>48</v>
      </c>
      <c r="AZ13" s="67">
        <v>2</v>
      </c>
      <c r="BA13" s="67">
        <v>2</v>
      </c>
      <c r="BB13" s="67">
        <v>2</v>
      </c>
      <c r="BC13" s="67">
        <v>2</v>
      </c>
      <c r="BD13" s="67">
        <v>2</v>
      </c>
      <c r="BE13" s="67">
        <v>2</v>
      </c>
      <c r="BF13" s="67">
        <v>2</v>
      </c>
      <c r="BG13" s="67">
        <v>2</v>
      </c>
      <c r="BH13" s="67">
        <v>2</v>
      </c>
      <c r="BI13" s="67">
        <v>1</v>
      </c>
      <c r="BJ13" s="67">
        <v>2</v>
      </c>
      <c r="BK13" s="67">
        <v>2</v>
      </c>
      <c r="BL13" s="67">
        <v>2</v>
      </c>
      <c r="CA13" s="79">
        <v>43794</v>
      </c>
      <c r="CB13" s="80">
        <v>0.47569444444444442</v>
      </c>
      <c r="CC13" s="79" t="s">
        <v>51</v>
      </c>
      <c r="CD13" s="67" t="s">
        <v>48</v>
      </c>
      <c r="CE13" s="67">
        <v>23.38</v>
      </c>
      <c r="CF13" s="67">
        <v>23.46</v>
      </c>
      <c r="CG13" s="67">
        <v>0.34217279726262984</v>
      </c>
      <c r="CH13" s="67">
        <v>7.11</v>
      </c>
      <c r="CI13" s="67">
        <v>7.13</v>
      </c>
      <c r="CJ13" s="67">
        <v>0.28129395218001729</v>
      </c>
      <c r="CK13" s="67">
        <v>7.12</v>
      </c>
      <c r="CL13" s="67">
        <v>7.17</v>
      </c>
      <c r="CM13" s="67">
        <v>0.70224719101124045</v>
      </c>
      <c r="CN13" s="67">
        <v>50</v>
      </c>
      <c r="CO13" s="67">
        <v>49.3</v>
      </c>
      <c r="CP13" s="67">
        <v>1.4000000000000012</v>
      </c>
      <c r="CQ13" s="67">
        <v>1.84</v>
      </c>
      <c r="CR13" s="67">
        <v>1.86</v>
      </c>
      <c r="CS13" s="67">
        <v>1.0869565217391353</v>
      </c>
      <c r="CU13" s="67">
        <v>9.0500000000000007</v>
      </c>
      <c r="CW13" s="67" t="s">
        <v>183</v>
      </c>
      <c r="CX13" s="67">
        <v>5.27</v>
      </c>
      <c r="CZ13" s="67" t="s">
        <v>54</v>
      </c>
      <c r="DA13" s="67" t="s">
        <v>55</v>
      </c>
      <c r="DB13" s="141" t="str">
        <f t="shared" si="3"/>
        <v>Setembro</v>
      </c>
      <c r="DC13" s="141">
        <f t="shared" si="4"/>
        <v>2019</v>
      </c>
      <c r="DD13" s="142" t="str">
        <f t="shared" si="5"/>
        <v>COD011 Estação 11</v>
      </c>
      <c r="DL13" s="78"/>
      <c r="DM13" s="78"/>
      <c r="DN13" s="78"/>
      <c r="DO13" s="78"/>
      <c r="DP13" s="78"/>
      <c r="DQ13" s="78"/>
    </row>
    <row r="14" spans="1:121" ht="15" customHeight="1" x14ac:dyDescent="0.25">
      <c r="A14" s="78">
        <v>20191125</v>
      </c>
      <c r="B14" s="11" t="s">
        <v>331</v>
      </c>
      <c r="C14" s="12" t="s">
        <v>350</v>
      </c>
      <c r="D14" s="12" t="s">
        <v>317</v>
      </c>
      <c r="E14" s="12" t="s">
        <v>317</v>
      </c>
      <c r="F14" s="79">
        <v>43794</v>
      </c>
      <c r="G14" s="80">
        <v>0.44444444444444442</v>
      </c>
      <c r="H14" s="80">
        <v>0.5</v>
      </c>
      <c r="I14" s="67">
        <v>23.1</v>
      </c>
      <c r="J14" s="67">
        <v>22.85</v>
      </c>
      <c r="K14" s="67">
        <v>1.0822510822510845</v>
      </c>
      <c r="L14" s="67">
        <v>4</v>
      </c>
      <c r="M14" s="67">
        <v>4</v>
      </c>
      <c r="O14" s="67">
        <v>22.84</v>
      </c>
      <c r="P14" s="67">
        <v>22.38</v>
      </c>
      <c r="R14" s="67">
        <v>3.71</v>
      </c>
      <c r="S14" s="67">
        <v>3.93</v>
      </c>
      <c r="V14" s="67">
        <v>167.9</v>
      </c>
      <c r="AA14" s="67">
        <v>7.2500000000000009</v>
      </c>
      <c r="AB14" s="67">
        <v>1.749999999999996</v>
      </c>
      <c r="AC14" s="67" t="s">
        <v>183</v>
      </c>
      <c r="AD14" s="67">
        <v>147</v>
      </c>
      <c r="AE14" s="67">
        <v>144.5</v>
      </c>
      <c r="AG14" s="67">
        <v>0.1</v>
      </c>
      <c r="AH14" s="67">
        <v>1.7006802721088454</v>
      </c>
      <c r="AI14" s="67">
        <v>21.12</v>
      </c>
      <c r="AJ14" s="67">
        <v>697.6</v>
      </c>
      <c r="AK14" s="67">
        <v>8.1458378334823749</v>
      </c>
      <c r="AL14" s="67">
        <v>91.789473684210535</v>
      </c>
      <c r="AM14" s="67">
        <v>8.33</v>
      </c>
      <c r="AN14" s="67">
        <v>93.6</v>
      </c>
      <c r="AO14" s="67">
        <v>2.2608130714393937</v>
      </c>
      <c r="AP14" s="79">
        <v>43794</v>
      </c>
      <c r="AR14" s="67">
        <v>113</v>
      </c>
      <c r="AT14" s="67">
        <v>106.8</v>
      </c>
      <c r="AV14" s="67">
        <v>5.4867256637168182</v>
      </c>
      <c r="AW14" s="67" t="s">
        <v>183</v>
      </c>
      <c r="AX14" s="67">
        <v>2</v>
      </c>
      <c r="AY14" s="67" t="s">
        <v>48</v>
      </c>
      <c r="AZ14" s="67">
        <v>2</v>
      </c>
      <c r="BA14" s="67">
        <v>2</v>
      </c>
      <c r="BB14" s="67">
        <v>2</v>
      </c>
      <c r="BC14" s="67">
        <v>2</v>
      </c>
      <c r="BD14" s="67">
        <v>2</v>
      </c>
      <c r="BE14" s="67">
        <v>2</v>
      </c>
      <c r="BF14" s="67">
        <v>2</v>
      </c>
      <c r="BG14" s="67">
        <v>2</v>
      </c>
      <c r="BH14" s="67">
        <v>1</v>
      </c>
      <c r="BI14" s="67">
        <v>2</v>
      </c>
      <c r="BJ14" s="67">
        <v>2</v>
      </c>
      <c r="BK14" s="67">
        <v>2</v>
      </c>
      <c r="BL14" s="67">
        <v>2</v>
      </c>
      <c r="CC14" s="79"/>
      <c r="DB14" s="141" t="str">
        <f t="shared" si="3"/>
        <v>Setembro</v>
      </c>
      <c r="DC14" s="141">
        <f t="shared" si="4"/>
        <v>2019</v>
      </c>
      <c r="DD14" s="142" t="str">
        <f t="shared" si="5"/>
        <v>COD012 Estação 12</v>
      </c>
      <c r="DL14" s="78"/>
      <c r="DM14" s="78"/>
      <c r="DN14" s="78"/>
      <c r="DO14" s="78"/>
      <c r="DP14" s="78"/>
      <c r="DQ14" s="78"/>
    </row>
    <row r="15" spans="1:121" ht="15" customHeight="1" x14ac:dyDescent="0.25">
      <c r="A15" s="78">
        <v>20191217</v>
      </c>
      <c r="B15" s="11" t="s">
        <v>332</v>
      </c>
      <c r="C15" s="12" t="s">
        <v>351</v>
      </c>
      <c r="D15" s="12" t="s">
        <v>318</v>
      </c>
      <c r="E15" s="12" t="s">
        <v>318</v>
      </c>
      <c r="F15" s="79">
        <v>43816</v>
      </c>
      <c r="G15" s="80">
        <v>0.44097222222222227</v>
      </c>
      <c r="I15" s="67">
        <v>25.9</v>
      </c>
      <c r="J15" s="67">
        <v>26</v>
      </c>
      <c r="K15" s="67">
        <v>0.38610038610038533</v>
      </c>
      <c r="L15" s="67">
        <v>7</v>
      </c>
      <c r="O15" s="67">
        <v>26</v>
      </c>
      <c r="R15" s="67">
        <v>7.12</v>
      </c>
      <c r="U15" s="67">
        <v>-18.7</v>
      </c>
      <c r="AA15" s="67">
        <v>1.7142857142857126</v>
      </c>
      <c r="AB15" s="67" t="s">
        <v>183</v>
      </c>
      <c r="AC15" s="67" t="s">
        <v>183</v>
      </c>
      <c r="AD15" s="67">
        <v>147</v>
      </c>
      <c r="AE15" s="67">
        <v>144.30000000000001</v>
      </c>
      <c r="AG15" s="67">
        <v>0.3</v>
      </c>
      <c r="AH15" s="67">
        <v>1.8367346938775397</v>
      </c>
      <c r="AI15" s="67">
        <v>27.12</v>
      </c>
      <c r="AJ15" s="67">
        <v>694.9</v>
      </c>
      <c r="AK15" s="67">
        <v>7.2456439753798811</v>
      </c>
      <c r="AL15" s="67">
        <v>91.434210526315795</v>
      </c>
      <c r="AM15" s="67">
        <v>7.45</v>
      </c>
      <c r="AN15" s="67">
        <v>93.8</v>
      </c>
      <c r="AO15" s="67">
        <v>2.8203983705865854</v>
      </c>
      <c r="AP15" s="79">
        <v>43816</v>
      </c>
      <c r="AT15" s="67">
        <v>104.7</v>
      </c>
      <c r="AV15" s="67">
        <v>3.9449541284403589</v>
      </c>
      <c r="AW15" s="67" t="s">
        <v>183</v>
      </c>
      <c r="AX15" s="67">
        <v>2</v>
      </c>
      <c r="AY15" s="67" t="s">
        <v>48</v>
      </c>
      <c r="AZ15" s="67">
        <v>2</v>
      </c>
      <c r="BA15" s="67">
        <v>2</v>
      </c>
      <c r="BB15" s="67">
        <v>2</v>
      </c>
      <c r="BC15" s="67">
        <v>2</v>
      </c>
      <c r="BD15" s="67">
        <v>2</v>
      </c>
      <c r="BE15" s="67">
        <v>2</v>
      </c>
      <c r="BF15" s="67">
        <v>2</v>
      </c>
      <c r="BG15" s="67">
        <v>2</v>
      </c>
      <c r="BH15" s="67">
        <v>2</v>
      </c>
      <c r="BI15" s="67">
        <v>2</v>
      </c>
      <c r="BJ15" s="67">
        <v>2</v>
      </c>
      <c r="BK15" s="67">
        <v>2</v>
      </c>
      <c r="BL15" s="67">
        <v>2</v>
      </c>
      <c r="CA15" s="79">
        <v>43837</v>
      </c>
      <c r="CC15" s="79"/>
      <c r="CG15" s="67" t="s">
        <v>183</v>
      </c>
      <c r="CJ15" s="67" t="s">
        <v>183</v>
      </c>
      <c r="CM15" s="67" t="s">
        <v>183</v>
      </c>
      <c r="CP15" s="67" t="s">
        <v>183</v>
      </c>
      <c r="CS15" s="67" t="s">
        <v>183</v>
      </c>
      <c r="CW15" s="67" t="s">
        <v>183</v>
      </c>
      <c r="CZ15" s="67" t="s">
        <v>54</v>
      </c>
      <c r="DA15" s="67" t="s">
        <v>55</v>
      </c>
      <c r="DB15" s="141" t="str">
        <f t="shared" si="3"/>
        <v>Setembro</v>
      </c>
      <c r="DC15" s="141">
        <f t="shared" si="4"/>
        <v>2019</v>
      </c>
      <c r="DD15" s="142" t="str">
        <f t="shared" si="5"/>
        <v>COD013 Estação 13</v>
      </c>
      <c r="DL15" s="78"/>
      <c r="DM15" s="78"/>
      <c r="DN15" s="78"/>
      <c r="DO15" s="78"/>
      <c r="DP15" s="78"/>
      <c r="DQ15" s="78"/>
    </row>
    <row r="16" spans="1:121" ht="15" customHeight="1" x14ac:dyDescent="0.25">
      <c r="A16" s="78">
        <v>20200107</v>
      </c>
      <c r="B16" s="11" t="s">
        <v>333</v>
      </c>
      <c r="C16" s="12" t="s">
        <v>352</v>
      </c>
      <c r="D16" s="12" t="s">
        <v>55</v>
      </c>
      <c r="E16" s="12" t="s">
        <v>55</v>
      </c>
      <c r="F16" s="79">
        <v>43837</v>
      </c>
      <c r="G16" s="80">
        <v>0.66180555555555554</v>
      </c>
      <c r="K16" s="67" t="s">
        <v>183</v>
      </c>
      <c r="AA16" s="67" t="s">
        <v>183</v>
      </c>
      <c r="AB16" s="67" t="s">
        <v>183</v>
      </c>
      <c r="AC16" s="67" t="s">
        <v>183</v>
      </c>
      <c r="AH16" s="67" t="s">
        <v>183</v>
      </c>
      <c r="AK16" s="67" t="s">
        <v>42</v>
      </c>
      <c r="AL16" s="67" t="s">
        <v>42</v>
      </c>
      <c r="AO16" s="67" t="s">
        <v>183</v>
      </c>
      <c r="AV16" s="67" t="s">
        <v>183</v>
      </c>
      <c r="AW16" s="67" t="s">
        <v>183</v>
      </c>
      <c r="AX16" s="67">
        <v>2</v>
      </c>
      <c r="AZ16" s="67">
        <v>2</v>
      </c>
      <c r="BA16" s="67">
        <v>2</v>
      </c>
      <c r="BB16" s="67">
        <v>2</v>
      </c>
      <c r="BC16" s="67">
        <v>2</v>
      </c>
      <c r="BD16" s="67">
        <v>2</v>
      </c>
      <c r="BE16" s="67">
        <v>2</v>
      </c>
      <c r="BF16" s="67">
        <v>2</v>
      </c>
      <c r="BG16" s="67">
        <v>2</v>
      </c>
      <c r="BH16" s="67">
        <v>2</v>
      </c>
      <c r="BI16" s="67">
        <v>2</v>
      </c>
      <c r="BJ16" s="67">
        <v>2</v>
      </c>
      <c r="BK16" s="67">
        <v>2</v>
      </c>
      <c r="BL16" s="67">
        <v>2</v>
      </c>
      <c r="BZ16" s="67" t="s">
        <v>192</v>
      </c>
      <c r="CC16" s="79"/>
      <c r="DB16" s="141" t="str">
        <f t="shared" si="3"/>
        <v>Janeiro</v>
      </c>
      <c r="DC16" s="141">
        <f t="shared" si="4"/>
        <v>2020</v>
      </c>
      <c r="DD16" s="142" t="str">
        <f t="shared" si="5"/>
        <v>COD014 Estação 14</v>
      </c>
      <c r="DL16" s="78"/>
      <c r="DM16" s="78"/>
      <c r="DN16" s="78"/>
      <c r="DO16" s="78"/>
      <c r="DP16" s="78"/>
      <c r="DQ16" s="78"/>
    </row>
    <row r="17" spans="1:121" ht="15" customHeight="1" x14ac:dyDescent="0.25">
      <c r="A17" s="78">
        <v>25190813</v>
      </c>
      <c r="B17" s="11" t="s">
        <v>334</v>
      </c>
      <c r="C17" s="12" t="s">
        <v>353</v>
      </c>
      <c r="D17" s="12" t="s">
        <v>54</v>
      </c>
      <c r="E17" s="12" t="s">
        <v>55</v>
      </c>
      <c r="F17" s="79">
        <v>43690</v>
      </c>
      <c r="G17" s="80">
        <v>0.64583333333333337</v>
      </c>
      <c r="I17" s="67">
        <v>19.899999999999999</v>
      </c>
      <c r="J17" s="67">
        <v>19.82</v>
      </c>
      <c r="K17" s="67">
        <v>0.4020100502512447</v>
      </c>
      <c r="L17" s="67">
        <v>7</v>
      </c>
      <c r="O17" s="67">
        <v>19.600000000000001</v>
      </c>
      <c r="R17" s="67">
        <v>7.07</v>
      </c>
      <c r="AA17" s="67">
        <v>1.0000000000000009</v>
      </c>
      <c r="AB17" s="67" t="s">
        <v>183</v>
      </c>
      <c r="AC17" s="67" t="s">
        <v>183</v>
      </c>
      <c r="AD17" s="67">
        <v>147</v>
      </c>
      <c r="AE17" s="67">
        <v>144.19999999999999</v>
      </c>
      <c r="AH17" s="67">
        <v>1.9047619047619091</v>
      </c>
      <c r="AI17" s="67">
        <v>19.16</v>
      </c>
      <c r="AJ17" s="67">
        <v>715.6</v>
      </c>
      <c r="AK17" s="67">
        <v>8.6945223470252948</v>
      </c>
      <c r="AL17" s="67">
        <v>94.15789473684211</v>
      </c>
      <c r="AM17" s="67">
        <v>8.7100000000000009</v>
      </c>
      <c r="AN17" s="67">
        <v>94.2</v>
      </c>
      <c r="AO17" s="67">
        <v>0.17801613886243572</v>
      </c>
      <c r="AP17" s="79">
        <v>43689</v>
      </c>
      <c r="AR17" s="67">
        <v>98.5</v>
      </c>
      <c r="AT17" s="67">
        <v>98.7</v>
      </c>
      <c r="AV17" s="67">
        <v>0.20304568527920175</v>
      </c>
      <c r="AW17" s="67" t="s">
        <v>183</v>
      </c>
      <c r="AX17" s="67">
        <v>2</v>
      </c>
      <c r="AY17" s="67" t="s">
        <v>43</v>
      </c>
      <c r="AZ17" s="67">
        <v>2</v>
      </c>
      <c r="BA17" s="67">
        <v>2</v>
      </c>
      <c r="BB17" s="67">
        <v>2</v>
      </c>
      <c r="BC17" s="67">
        <v>2</v>
      </c>
      <c r="BD17" s="67">
        <v>2</v>
      </c>
      <c r="BE17" s="67">
        <v>2</v>
      </c>
      <c r="BF17" s="67">
        <v>2</v>
      </c>
      <c r="BG17" s="67">
        <v>2</v>
      </c>
      <c r="BH17" s="67">
        <v>2</v>
      </c>
      <c r="BI17" s="67">
        <v>2</v>
      </c>
      <c r="BJ17" s="67">
        <v>2</v>
      </c>
      <c r="BK17" s="67">
        <v>1</v>
      </c>
      <c r="BL17" s="67">
        <v>2</v>
      </c>
      <c r="CA17" s="79">
        <v>43704</v>
      </c>
      <c r="CB17" s="80">
        <v>0.64930555555555558</v>
      </c>
      <c r="CC17" s="79" t="s">
        <v>51</v>
      </c>
      <c r="CD17" s="67" t="s">
        <v>43</v>
      </c>
      <c r="CE17" s="67">
        <v>20</v>
      </c>
      <c r="CF17" s="67">
        <v>19.989999999999998</v>
      </c>
      <c r="CG17" s="67">
        <v>5.0000000000005596E-2</v>
      </c>
      <c r="CH17" s="67">
        <v>6.7</v>
      </c>
      <c r="CI17" s="67">
        <v>6.83</v>
      </c>
      <c r="CJ17" s="67">
        <v>1.9402985074626899</v>
      </c>
      <c r="CK17" s="67">
        <v>6.71</v>
      </c>
      <c r="CL17" s="67">
        <v>6.8</v>
      </c>
      <c r="CM17" s="67">
        <v>1.3412816691505292</v>
      </c>
      <c r="CN17" s="67">
        <v>34.5</v>
      </c>
      <c r="CO17" s="67">
        <v>33.700000000000003</v>
      </c>
      <c r="CP17" s="67">
        <v>2.3188405797101352</v>
      </c>
      <c r="CQ17" s="67">
        <v>2.7</v>
      </c>
      <c r="CR17" s="67">
        <v>3.14</v>
      </c>
      <c r="CS17" s="67">
        <v>16.296296296296298</v>
      </c>
      <c r="CW17" s="67" t="s">
        <v>183</v>
      </c>
      <c r="CZ17" s="67" t="s">
        <v>54</v>
      </c>
      <c r="DA17" s="67" t="s">
        <v>56</v>
      </c>
      <c r="DB17" s="141" t="str">
        <f t="shared" si="3"/>
        <v>Agosto</v>
      </c>
      <c r="DC17" s="141">
        <f t="shared" si="4"/>
        <v>2019</v>
      </c>
      <c r="DD17" s="142" t="str">
        <f t="shared" si="5"/>
        <v>COD015 Estação 15</v>
      </c>
      <c r="DL17" s="78"/>
      <c r="DM17" s="78"/>
      <c r="DN17" s="78"/>
      <c r="DO17" s="78"/>
      <c r="DP17" s="78"/>
      <c r="DQ17" s="78"/>
    </row>
    <row r="18" spans="1:121" ht="15" customHeight="1" x14ac:dyDescent="0.25">
      <c r="A18" s="78">
        <v>25190827</v>
      </c>
      <c r="B18" s="11" t="s">
        <v>335</v>
      </c>
      <c r="C18" s="12" t="s">
        <v>354</v>
      </c>
      <c r="D18" s="12" t="s">
        <v>319</v>
      </c>
      <c r="E18" s="12" t="s">
        <v>54</v>
      </c>
      <c r="F18" s="79">
        <v>43704</v>
      </c>
      <c r="G18" s="80">
        <v>0.62847222222222221</v>
      </c>
      <c r="I18" s="67">
        <v>23.2</v>
      </c>
      <c r="J18" s="67">
        <v>23</v>
      </c>
      <c r="K18" s="67">
        <v>0.86206896551723755</v>
      </c>
      <c r="L18" s="67">
        <v>10</v>
      </c>
      <c r="R18" s="67">
        <v>10.18</v>
      </c>
      <c r="AA18" s="67">
        <v>1.8000000000000016</v>
      </c>
      <c r="AB18" s="67" t="s">
        <v>183</v>
      </c>
      <c r="AC18" s="67" t="s">
        <v>183</v>
      </c>
      <c r="AD18" s="67">
        <v>147</v>
      </c>
      <c r="AE18" s="67">
        <v>146.9</v>
      </c>
      <c r="AH18" s="67">
        <v>6.8027210884347156E-2</v>
      </c>
      <c r="AI18" s="67">
        <v>25.2</v>
      </c>
      <c r="AJ18" s="67">
        <v>714.9</v>
      </c>
      <c r="AK18" s="67">
        <v>7.7288735820369494</v>
      </c>
      <c r="AL18" s="67">
        <v>94.065789473684205</v>
      </c>
      <c r="AM18" s="67">
        <v>7.76</v>
      </c>
      <c r="AN18" s="67">
        <v>94.8</v>
      </c>
      <c r="AO18" s="67">
        <v>0.40272903460851772</v>
      </c>
      <c r="AP18" s="79">
        <v>43704</v>
      </c>
      <c r="AT18" s="67">
        <v>102.59</v>
      </c>
      <c r="AV18" s="67">
        <v>2.5900000000000034</v>
      </c>
      <c r="AW18" s="67" t="s">
        <v>183</v>
      </c>
      <c r="AX18" s="67">
        <v>2</v>
      </c>
      <c r="AY18" s="67" t="s">
        <v>43</v>
      </c>
      <c r="AZ18" s="67">
        <v>2</v>
      </c>
      <c r="BA18" s="67">
        <v>2</v>
      </c>
      <c r="BB18" s="67">
        <v>2</v>
      </c>
      <c r="BC18" s="67">
        <v>2</v>
      </c>
      <c r="BD18" s="67">
        <v>2</v>
      </c>
      <c r="BE18" s="67">
        <v>2</v>
      </c>
      <c r="BF18" s="67">
        <v>2</v>
      </c>
      <c r="BG18" s="67">
        <v>2</v>
      </c>
      <c r="BH18" s="67">
        <v>2</v>
      </c>
      <c r="BI18" s="67">
        <v>2</v>
      </c>
      <c r="BJ18" s="67">
        <v>2</v>
      </c>
      <c r="BK18" s="67">
        <v>2</v>
      </c>
      <c r="BL18" s="67">
        <v>2</v>
      </c>
      <c r="CA18" s="79">
        <v>43726</v>
      </c>
      <c r="CB18" s="80">
        <v>0.4861111111111111</v>
      </c>
      <c r="CC18" s="79" t="s">
        <v>51</v>
      </c>
      <c r="CD18" s="67" t="s">
        <v>43</v>
      </c>
      <c r="CE18" s="67">
        <v>20.260000000000002</v>
      </c>
      <c r="CF18" s="67">
        <v>20.25</v>
      </c>
      <c r="CG18" s="67">
        <v>4.9358341559735397E-2</v>
      </c>
      <c r="CH18" s="67">
        <v>6.66</v>
      </c>
      <c r="CI18" s="67">
        <v>6.85</v>
      </c>
      <c r="CJ18" s="67">
        <v>2.8528528528528385</v>
      </c>
      <c r="CK18" s="67">
        <v>6.68</v>
      </c>
      <c r="CL18" s="67">
        <v>6.69</v>
      </c>
      <c r="CM18" s="67">
        <v>0.14970059880241582</v>
      </c>
      <c r="CN18" s="67">
        <v>33.200000000000003</v>
      </c>
      <c r="CO18" s="67">
        <v>32.5</v>
      </c>
      <c r="CP18" s="67">
        <v>2.108433734939763</v>
      </c>
      <c r="CQ18" s="67">
        <v>3.22</v>
      </c>
      <c r="CR18" s="67">
        <v>3.03</v>
      </c>
      <c r="CS18" s="67">
        <v>5.900621118012439</v>
      </c>
      <c r="CW18" s="67" t="s">
        <v>183</v>
      </c>
      <c r="CX18" s="67">
        <v>4.97</v>
      </c>
      <c r="CY18" s="67" t="s">
        <v>55</v>
      </c>
      <c r="CZ18" s="67" t="s">
        <v>57</v>
      </c>
      <c r="DA18" s="67" t="s">
        <v>55</v>
      </c>
      <c r="DB18" s="141" t="str">
        <f t="shared" si="3"/>
        <v>Agosto</v>
      </c>
      <c r="DC18" s="141">
        <f t="shared" si="4"/>
        <v>2019</v>
      </c>
      <c r="DD18" s="142" t="str">
        <f t="shared" si="5"/>
        <v>COD016 Estação 16</v>
      </c>
      <c r="DL18" s="78"/>
      <c r="DM18" s="78"/>
      <c r="DN18" s="78"/>
      <c r="DO18" s="78"/>
      <c r="DP18" s="78"/>
      <c r="DQ18" s="78"/>
    </row>
    <row r="19" spans="1:121" ht="15" customHeight="1" x14ac:dyDescent="0.25">
      <c r="A19" s="78">
        <v>25190918</v>
      </c>
      <c r="B19" s="11" t="s">
        <v>335</v>
      </c>
      <c r="C19" s="12" t="s">
        <v>354</v>
      </c>
      <c r="D19" s="12" t="s">
        <v>314</v>
      </c>
      <c r="E19" s="12" t="s">
        <v>319</v>
      </c>
      <c r="F19" s="79">
        <v>43726</v>
      </c>
      <c r="I19" s="67">
        <v>27.5</v>
      </c>
      <c r="J19" s="67">
        <v>27.6</v>
      </c>
      <c r="K19" s="67">
        <v>0.36363636363636598</v>
      </c>
      <c r="L19" s="67">
        <v>7</v>
      </c>
      <c r="R19" s="67">
        <v>7.21</v>
      </c>
      <c r="U19" s="67">
        <v>-12</v>
      </c>
      <c r="AA19" s="67">
        <v>3.0000000000000027</v>
      </c>
      <c r="AB19" s="67" t="s">
        <v>183</v>
      </c>
      <c r="AC19" s="67" t="s">
        <v>183</v>
      </c>
      <c r="AD19" s="67">
        <v>147</v>
      </c>
      <c r="AE19" s="67">
        <v>147.69999999999999</v>
      </c>
      <c r="AH19" s="67">
        <v>0.4761904761904745</v>
      </c>
      <c r="AI19" s="67">
        <v>25.29</v>
      </c>
      <c r="AJ19" s="67">
        <v>705.5</v>
      </c>
      <c r="AK19" s="67">
        <v>7.6110780210788551</v>
      </c>
      <c r="AL19" s="67">
        <v>92.828947368421055</v>
      </c>
      <c r="AM19" s="67">
        <v>7.6</v>
      </c>
      <c r="AN19" s="67">
        <v>92.6</v>
      </c>
      <c r="AO19" s="67">
        <v>0.14555127471003182</v>
      </c>
      <c r="AP19" s="79">
        <v>43726</v>
      </c>
      <c r="AR19" s="67">
        <v>101</v>
      </c>
      <c r="AT19" s="67">
        <v>105.5</v>
      </c>
      <c r="AV19" s="67">
        <v>4.4554455445544594</v>
      </c>
      <c r="AW19" s="67" t="s">
        <v>183</v>
      </c>
      <c r="AX19" s="67">
        <v>2</v>
      </c>
      <c r="AY19" s="67" t="s">
        <v>43</v>
      </c>
      <c r="AZ19" s="67">
        <v>2</v>
      </c>
      <c r="BA19" s="67">
        <v>2</v>
      </c>
      <c r="BB19" s="67">
        <v>2</v>
      </c>
      <c r="BC19" s="67">
        <v>2</v>
      </c>
      <c r="BD19" s="67">
        <v>2</v>
      </c>
      <c r="BE19" s="67">
        <v>2</v>
      </c>
      <c r="BF19" s="67">
        <v>1</v>
      </c>
      <c r="BG19" s="67">
        <v>2</v>
      </c>
      <c r="BH19" s="67">
        <v>2</v>
      </c>
      <c r="BI19" s="67">
        <v>2</v>
      </c>
      <c r="BJ19" s="67">
        <v>2</v>
      </c>
      <c r="BK19" s="67">
        <v>2</v>
      </c>
      <c r="BL19" s="67">
        <v>2</v>
      </c>
      <c r="CA19" s="79">
        <v>43740</v>
      </c>
      <c r="CC19" s="79"/>
      <c r="CE19" s="67">
        <v>21.4</v>
      </c>
      <c r="CF19" s="67">
        <v>20.98</v>
      </c>
      <c r="CG19" s="67">
        <v>1.9626168224298968</v>
      </c>
      <c r="CH19" s="67">
        <v>3.87</v>
      </c>
      <c r="CI19" s="67">
        <v>6.1459999999999999</v>
      </c>
      <c r="CJ19" s="67">
        <v>58.811369509043928</v>
      </c>
      <c r="CK19" s="67">
        <v>6.74</v>
      </c>
      <c r="CL19" s="67">
        <v>6.74</v>
      </c>
      <c r="CM19" s="67">
        <v>0</v>
      </c>
      <c r="CN19" s="67">
        <v>32.799999999999997</v>
      </c>
      <c r="CO19" s="67">
        <v>32</v>
      </c>
      <c r="CP19" s="67">
        <v>2.4390243902438935</v>
      </c>
      <c r="CQ19" s="67">
        <v>3.8</v>
      </c>
      <c r="CR19" s="67">
        <v>3.25</v>
      </c>
      <c r="CS19" s="67">
        <v>14.473684210526317</v>
      </c>
      <c r="CW19" s="67" t="s">
        <v>183</v>
      </c>
      <c r="CZ19" s="67" t="s">
        <v>56</v>
      </c>
      <c r="DA19" s="67" t="s">
        <v>57</v>
      </c>
      <c r="DB19" s="141" t="str">
        <f t="shared" si="3"/>
        <v>Setembro</v>
      </c>
      <c r="DC19" s="141">
        <f t="shared" si="4"/>
        <v>2019</v>
      </c>
      <c r="DD19" s="142" t="str">
        <f t="shared" si="5"/>
        <v>COD016 Estação 16</v>
      </c>
      <c r="DL19" s="78"/>
      <c r="DM19" s="78"/>
      <c r="DN19" s="78"/>
      <c r="DO19" s="78"/>
      <c r="DP19" s="78"/>
      <c r="DQ19" s="78"/>
    </row>
    <row r="20" spans="1:121" ht="15" customHeight="1" x14ac:dyDescent="0.25">
      <c r="A20" s="78">
        <v>25191002</v>
      </c>
      <c r="B20" s="11" t="s">
        <v>335</v>
      </c>
      <c r="C20" s="12" t="s">
        <v>354</v>
      </c>
      <c r="D20" s="12" t="s">
        <v>315</v>
      </c>
      <c r="E20" s="12" t="s">
        <v>314</v>
      </c>
      <c r="F20" s="79">
        <v>43740</v>
      </c>
      <c r="G20" s="80">
        <v>0.5</v>
      </c>
      <c r="K20" s="67" t="s">
        <v>183</v>
      </c>
      <c r="AA20" s="67" t="s">
        <v>183</v>
      </c>
      <c r="AB20" s="67" t="s">
        <v>183</v>
      </c>
      <c r="AC20" s="67" t="s">
        <v>183</v>
      </c>
      <c r="AH20" s="67" t="s">
        <v>183</v>
      </c>
      <c r="AK20" s="67" t="s">
        <v>42</v>
      </c>
      <c r="AL20" s="67" t="s">
        <v>42</v>
      </c>
      <c r="AO20" s="67" t="s">
        <v>183</v>
      </c>
      <c r="AV20" s="67" t="s">
        <v>183</v>
      </c>
      <c r="AW20" s="67" t="s">
        <v>183</v>
      </c>
      <c r="AX20" s="67">
        <v>2</v>
      </c>
      <c r="AZ20" s="67">
        <v>2</v>
      </c>
      <c r="BA20" s="67">
        <v>2</v>
      </c>
      <c r="BB20" s="67">
        <v>2</v>
      </c>
      <c r="BC20" s="67">
        <v>2</v>
      </c>
      <c r="BD20" s="67">
        <v>2</v>
      </c>
      <c r="BE20" s="67">
        <v>2</v>
      </c>
      <c r="BF20" s="67">
        <v>2</v>
      </c>
      <c r="BG20" s="67">
        <v>2</v>
      </c>
      <c r="BH20" s="67">
        <v>2</v>
      </c>
      <c r="BI20" s="67">
        <v>2</v>
      </c>
      <c r="BJ20" s="67">
        <v>2</v>
      </c>
      <c r="BK20" s="67">
        <v>2</v>
      </c>
      <c r="BL20" s="67">
        <v>2</v>
      </c>
      <c r="BZ20" s="67" t="s">
        <v>204</v>
      </c>
      <c r="CA20" s="79">
        <v>43753</v>
      </c>
      <c r="CB20" s="80">
        <v>0.65625</v>
      </c>
      <c r="CC20" s="79" t="s">
        <v>51</v>
      </c>
      <c r="CD20" s="67" t="s">
        <v>49</v>
      </c>
      <c r="CE20" s="67">
        <v>21.84</v>
      </c>
      <c r="CF20" s="67">
        <v>21.9</v>
      </c>
      <c r="CG20" s="67">
        <v>0.27472527472527375</v>
      </c>
      <c r="CH20" s="67">
        <v>6.82</v>
      </c>
      <c r="CI20" s="67">
        <v>6.68</v>
      </c>
      <c r="CJ20" s="67">
        <v>2.052785923753675</v>
      </c>
      <c r="CK20" s="67">
        <v>6.72</v>
      </c>
      <c r="CL20" s="67">
        <v>6.6</v>
      </c>
      <c r="CM20" s="67">
        <v>1.7857142857142905</v>
      </c>
      <c r="CN20" s="67">
        <v>32.299999999999997</v>
      </c>
      <c r="CO20" s="67">
        <v>31.8</v>
      </c>
      <c r="CP20" s="67">
        <v>1.5479876160990558</v>
      </c>
      <c r="CQ20" s="67">
        <v>3.79</v>
      </c>
      <c r="CR20" s="67">
        <v>3.9</v>
      </c>
      <c r="CS20" s="67">
        <v>2.9023746701847042</v>
      </c>
      <c r="CW20" s="67" t="s">
        <v>183</v>
      </c>
      <c r="CX20" s="67">
        <v>5.68</v>
      </c>
      <c r="CZ20" s="67" t="s">
        <v>56</v>
      </c>
      <c r="DA20" s="67" t="s">
        <v>55</v>
      </c>
      <c r="DB20" s="141" t="str">
        <f t="shared" si="3"/>
        <v>Setembro</v>
      </c>
      <c r="DC20" s="141">
        <f t="shared" si="4"/>
        <v>2019</v>
      </c>
      <c r="DD20" s="142" t="str">
        <f t="shared" si="5"/>
        <v>COD016 Estação 16</v>
      </c>
      <c r="DL20" s="78"/>
      <c r="DM20" s="78"/>
      <c r="DN20" s="78"/>
      <c r="DO20" s="78"/>
      <c r="DP20" s="78"/>
      <c r="DQ20" s="78"/>
    </row>
    <row r="21" spans="1:121" ht="15" customHeight="1" x14ac:dyDescent="0.25">
      <c r="A21" s="78">
        <v>25191015</v>
      </c>
      <c r="B21" s="11" t="s">
        <v>335</v>
      </c>
      <c r="C21" s="12" t="s">
        <v>354</v>
      </c>
      <c r="D21" s="12" t="s">
        <v>316</v>
      </c>
      <c r="E21" s="12" t="s">
        <v>315</v>
      </c>
      <c r="F21" s="79">
        <v>43753</v>
      </c>
      <c r="G21" s="80">
        <v>0.64583333333333337</v>
      </c>
      <c r="H21" s="80">
        <v>0.66319444444444442</v>
      </c>
      <c r="I21" s="67">
        <v>25.1</v>
      </c>
      <c r="J21" s="67">
        <v>25.11</v>
      </c>
      <c r="K21" s="67">
        <v>3.9840637450194727E-2</v>
      </c>
      <c r="L21" s="67">
        <v>7</v>
      </c>
      <c r="O21" s="67">
        <v>25.01</v>
      </c>
      <c r="R21" s="67">
        <v>7.32</v>
      </c>
      <c r="U21" s="67">
        <v>-20.2</v>
      </c>
      <c r="AA21" s="67">
        <v>4.5714285714285818</v>
      </c>
      <c r="AB21" s="67" t="s">
        <v>183</v>
      </c>
      <c r="AC21" s="67" t="s">
        <v>183</v>
      </c>
      <c r="AD21" s="67">
        <v>147</v>
      </c>
      <c r="AE21" s="67">
        <v>145</v>
      </c>
      <c r="AG21" s="67">
        <v>0.1</v>
      </c>
      <c r="AH21" s="67">
        <v>1.3605442176870763</v>
      </c>
      <c r="AI21" s="67">
        <v>23.9</v>
      </c>
      <c r="AJ21" s="67">
        <v>712.1</v>
      </c>
      <c r="AK21" s="67">
        <v>7.8867329606366763</v>
      </c>
      <c r="AL21" s="67">
        <v>93.697368421052644</v>
      </c>
      <c r="AM21" s="67">
        <v>7.97</v>
      </c>
      <c r="AN21" s="67">
        <v>94.5</v>
      </c>
      <c r="AO21" s="67">
        <v>1.0557862143794727</v>
      </c>
      <c r="AP21" s="79">
        <v>43752</v>
      </c>
      <c r="AR21" s="67">
        <v>99.4</v>
      </c>
      <c r="AT21" s="67">
        <v>102.7</v>
      </c>
      <c r="AV21" s="67">
        <v>3.3199195171026208</v>
      </c>
      <c r="AW21" s="67" t="s">
        <v>183</v>
      </c>
      <c r="AX21" s="67">
        <v>2</v>
      </c>
      <c r="AY21" s="67" t="s">
        <v>49</v>
      </c>
      <c r="AZ21" s="67">
        <v>2</v>
      </c>
      <c r="BA21" s="67">
        <v>2</v>
      </c>
      <c r="BB21" s="67">
        <v>2</v>
      </c>
      <c r="BC21" s="67">
        <v>2</v>
      </c>
      <c r="BD21" s="67">
        <v>2</v>
      </c>
      <c r="BE21" s="67">
        <v>2</v>
      </c>
      <c r="BF21" s="67">
        <v>2</v>
      </c>
      <c r="BG21" s="67">
        <v>2</v>
      </c>
      <c r="BH21" s="67">
        <v>2</v>
      </c>
      <c r="BI21" s="67">
        <v>2</v>
      </c>
      <c r="BJ21" s="67">
        <v>2</v>
      </c>
      <c r="BK21" s="67">
        <v>2</v>
      </c>
      <c r="BL21" s="67">
        <v>2</v>
      </c>
      <c r="BZ21" s="67" t="s">
        <v>193</v>
      </c>
      <c r="CA21" s="79">
        <v>43767</v>
      </c>
      <c r="CB21" s="80">
        <v>0.46875</v>
      </c>
      <c r="CC21" s="79" t="s">
        <v>51</v>
      </c>
      <c r="CD21" s="67" t="s">
        <v>49</v>
      </c>
      <c r="CE21" s="67">
        <v>23.19</v>
      </c>
      <c r="CF21" s="67">
        <v>23.25</v>
      </c>
      <c r="CG21" s="67">
        <v>0.25873221216041742</v>
      </c>
      <c r="CH21" s="67">
        <v>6.8</v>
      </c>
      <c r="CI21" s="67">
        <v>6.72</v>
      </c>
      <c r="CJ21" s="67">
        <v>1.1764705882352899</v>
      </c>
      <c r="CK21" s="67">
        <v>6.55</v>
      </c>
      <c r="CL21" s="67">
        <v>6.4</v>
      </c>
      <c r="CM21" s="67">
        <v>2.2900763358778553</v>
      </c>
      <c r="CN21" s="67">
        <v>32.200000000000003</v>
      </c>
      <c r="CO21" s="67">
        <v>31.7</v>
      </c>
      <c r="CP21" s="67">
        <v>1.5527950310559091</v>
      </c>
      <c r="CQ21" s="67">
        <v>3.57</v>
      </c>
      <c r="CR21" s="67">
        <v>3.77</v>
      </c>
      <c r="CS21" s="67">
        <v>5.6022408963585457</v>
      </c>
      <c r="CW21" s="67" t="s">
        <v>183</v>
      </c>
      <c r="CX21" s="67">
        <v>5.4</v>
      </c>
      <c r="CZ21" s="67" t="s">
        <v>54</v>
      </c>
      <c r="DA21" s="67" t="s">
        <v>55</v>
      </c>
      <c r="DB21" s="141" t="str">
        <f t="shared" si="3"/>
        <v>Setembro</v>
      </c>
      <c r="DC21" s="141">
        <f t="shared" si="4"/>
        <v>2019</v>
      </c>
      <c r="DD21" s="142" t="str">
        <f t="shared" si="5"/>
        <v>COD016 Estação 16</v>
      </c>
      <c r="DL21" s="78"/>
      <c r="DM21" s="78"/>
      <c r="DN21" s="78"/>
      <c r="DO21" s="78"/>
      <c r="DP21" s="78"/>
      <c r="DQ21" s="78"/>
    </row>
    <row r="22" spans="1:121" ht="15" customHeight="1" x14ac:dyDescent="0.25">
      <c r="A22" s="78">
        <v>25191029</v>
      </c>
      <c r="B22" s="11" t="s">
        <v>335</v>
      </c>
      <c r="C22" s="12" t="s">
        <v>354</v>
      </c>
      <c r="D22" s="12" t="s">
        <v>317</v>
      </c>
      <c r="E22" s="12" t="s">
        <v>316</v>
      </c>
      <c r="F22" s="79">
        <v>43767</v>
      </c>
      <c r="G22" s="80">
        <v>0.4513888888888889</v>
      </c>
      <c r="H22" s="80">
        <v>0.47569444444444442</v>
      </c>
      <c r="I22" s="67">
        <v>26.7</v>
      </c>
      <c r="J22" s="67">
        <v>26.68</v>
      </c>
      <c r="K22" s="67">
        <v>7.4906367041194244E-2</v>
      </c>
      <c r="L22" s="67">
        <v>4</v>
      </c>
      <c r="O22" s="67">
        <v>26.9</v>
      </c>
      <c r="R22" s="67">
        <v>4.2</v>
      </c>
      <c r="U22" s="67">
        <v>159.30000000000001</v>
      </c>
      <c r="AA22" s="67">
        <v>5.0000000000000044</v>
      </c>
      <c r="AB22" s="67" t="s">
        <v>183</v>
      </c>
      <c r="AC22" s="67" t="s">
        <v>183</v>
      </c>
      <c r="AD22" s="67">
        <v>147</v>
      </c>
      <c r="AE22" s="67">
        <v>149.30000000000001</v>
      </c>
      <c r="AH22" s="67">
        <v>1.56462585034014</v>
      </c>
      <c r="AI22" s="67">
        <v>29.05</v>
      </c>
      <c r="AJ22" s="67">
        <v>708.2</v>
      </c>
      <c r="AK22" s="67">
        <v>7.1394860110012246</v>
      </c>
      <c r="AL22" s="67">
        <v>93.184210526315795</v>
      </c>
      <c r="AM22" s="67">
        <v>7.14</v>
      </c>
      <c r="AN22" s="67">
        <v>94.8</v>
      </c>
      <c r="AO22" s="67">
        <v>7.1992437268297849E-3</v>
      </c>
      <c r="AV22" s="67" t="s">
        <v>183</v>
      </c>
      <c r="AW22" s="67" t="s">
        <v>183</v>
      </c>
      <c r="AX22" s="67">
        <v>2</v>
      </c>
      <c r="AY22" s="67" t="s">
        <v>49</v>
      </c>
      <c r="AZ22" s="67">
        <v>2</v>
      </c>
      <c r="BA22" s="67">
        <v>2</v>
      </c>
      <c r="BB22" s="67">
        <v>1</v>
      </c>
      <c r="BC22" s="67">
        <v>2</v>
      </c>
      <c r="BD22" s="67">
        <v>2</v>
      </c>
      <c r="BE22" s="67">
        <v>2</v>
      </c>
      <c r="BF22" s="67">
        <v>2</v>
      </c>
      <c r="BG22" s="67">
        <v>2</v>
      </c>
      <c r="BH22" s="67">
        <v>2</v>
      </c>
      <c r="BI22" s="67">
        <v>1</v>
      </c>
      <c r="BJ22" s="67">
        <v>2</v>
      </c>
      <c r="BK22" s="67">
        <v>2</v>
      </c>
      <c r="BL22" s="67">
        <v>2</v>
      </c>
      <c r="BQ22" s="67" t="s">
        <v>195</v>
      </c>
      <c r="BR22" s="67" t="s">
        <v>196</v>
      </c>
      <c r="BZ22" s="67" t="s">
        <v>194</v>
      </c>
      <c r="CA22" s="79">
        <v>43780</v>
      </c>
      <c r="CB22" s="80">
        <v>0.57291666666666663</v>
      </c>
      <c r="CC22" s="79" t="s">
        <v>51</v>
      </c>
      <c r="CD22" s="67" t="s">
        <v>49</v>
      </c>
      <c r="CE22" s="67">
        <v>23.86</v>
      </c>
      <c r="CF22" s="67">
        <v>23.92</v>
      </c>
      <c r="CG22" s="67">
        <v>0.25146689019279744</v>
      </c>
      <c r="CH22" s="67">
        <v>6.79</v>
      </c>
      <c r="CI22" s="67">
        <v>6.67</v>
      </c>
      <c r="CJ22" s="67">
        <v>1.7673048600883701</v>
      </c>
      <c r="CK22" s="67">
        <v>6.1</v>
      </c>
      <c r="CL22" s="67">
        <v>6.01</v>
      </c>
      <c r="CM22" s="67">
        <v>1.4754098360655665</v>
      </c>
      <c r="CN22" s="67">
        <v>32.200000000000003</v>
      </c>
      <c r="CO22" s="67">
        <v>31.7</v>
      </c>
      <c r="CP22" s="67">
        <v>1.5527950310559091</v>
      </c>
      <c r="CQ22" s="67">
        <v>3.73</v>
      </c>
      <c r="CR22" s="67">
        <v>3.88</v>
      </c>
      <c r="CS22" s="67">
        <v>4.0214477211796273</v>
      </c>
      <c r="CW22" s="67" t="s">
        <v>183</v>
      </c>
      <c r="CZ22" s="67" t="s">
        <v>55</v>
      </c>
      <c r="DA22" s="67" t="s">
        <v>54</v>
      </c>
      <c r="DB22" s="141" t="str">
        <f t="shared" si="3"/>
        <v>Setembro</v>
      </c>
      <c r="DC22" s="141">
        <f t="shared" si="4"/>
        <v>2019</v>
      </c>
      <c r="DD22" s="142" t="str">
        <f t="shared" si="5"/>
        <v>COD016 Estação 16</v>
      </c>
      <c r="DL22" s="78"/>
      <c r="DM22" s="78"/>
      <c r="DN22" s="78"/>
      <c r="DO22" s="78"/>
      <c r="DP22" s="78"/>
      <c r="DQ22" s="78"/>
    </row>
    <row r="23" spans="1:121" ht="15" customHeight="1" x14ac:dyDescent="0.25">
      <c r="A23" s="78">
        <v>25191111</v>
      </c>
      <c r="B23" s="11" t="s">
        <v>335</v>
      </c>
      <c r="C23" s="12" t="s">
        <v>354</v>
      </c>
      <c r="D23" s="12" t="s">
        <v>318</v>
      </c>
      <c r="E23" s="12" t="s">
        <v>317</v>
      </c>
      <c r="F23" s="79">
        <v>43780</v>
      </c>
      <c r="G23" s="80">
        <v>0.56597222222222221</v>
      </c>
      <c r="H23" s="80">
        <v>0.59305555555555556</v>
      </c>
      <c r="I23" s="67">
        <v>24.9</v>
      </c>
      <c r="J23" s="67">
        <v>24.6</v>
      </c>
      <c r="K23" s="67">
        <v>1.2048192771084265</v>
      </c>
      <c r="L23" s="67">
        <v>7</v>
      </c>
      <c r="O23" s="67">
        <v>25.5</v>
      </c>
      <c r="R23" s="67">
        <v>7.04</v>
      </c>
      <c r="AA23" s="67">
        <v>0.57142857142857828</v>
      </c>
      <c r="AB23" s="67" t="s">
        <v>183</v>
      </c>
      <c r="AC23" s="67" t="s">
        <v>183</v>
      </c>
      <c r="AD23" s="67">
        <v>147</v>
      </c>
      <c r="AE23" s="67">
        <v>144.5</v>
      </c>
      <c r="AG23" s="67">
        <v>0</v>
      </c>
      <c r="AH23" s="67">
        <v>1.7006802721088454</v>
      </c>
      <c r="AI23" s="67">
        <v>23.66</v>
      </c>
      <c r="AJ23" s="67">
        <v>711.2</v>
      </c>
      <c r="AK23" s="67">
        <v>7.912216530878549</v>
      </c>
      <c r="AL23" s="67">
        <v>93.578947368421069</v>
      </c>
      <c r="AM23" s="67">
        <v>8.0399999999999991</v>
      </c>
      <c r="AN23" s="67">
        <v>94.9</v>
      </c>
      <c r="AO23" s="67">
        <v>1.6150148144044918</v>
      </c>
      <c r="AP23" s="79">
        <v>43780</v>
      </c>
      <c r="AR23" s="67">
        <v>107</v>
      </c>
      <c r="AT23" s="67">
        <v>107.4</v>
      </c>
      <c r="AV23" s="67">
        <v>0.37383177570093906</v>
      </c>
      <c r="AW23" s="67" t="s">
        <v>183</v>
      </c>
      <c r="AX23" s="67">
        <v>2</v>
      </c>
      <c r="AY23" s="67" t="s">
        <v>49</v>
      </c>
      <c r="AZ23" s="67">
        <v>2</v>
      </c>
      <c r="BA23" s="67">
        <v>2</v>
      </c>
      <c r="BB23" s="67">
        <v>2</v>
      </c>
      <c r="BC23" s="67">
        <v>2</v>
      </c>
      <c r="BD23" s="67">
        <v>2</v>
      </c>
      <c r="BE23" s="67">
        <v>2</v>
      </c>
      <c r="BF23" s="67">
        <v>1</v>
      </c>
      <c r="BG23" s="67">
        <v>2</v>
      </c>
      <c r="BH23" s="67">
        <v>1</v>
      </c>
      <c r="BI23" s="67">
        <v>2</v>
      </c>
      <c r="BJ23" s="67">
        <v>2</v>
      </c>
      <c r="BK23" s="67">
        <v>2</v>
      </c>
      <c r="BL23" s="67">
        <v>2</v>
      </c>
      <c r="CA23" s="79">
        <v>43802</v>
      </c>
      <c r="CB23" s="80">
        <v>0.5</v>
      </c>
      <c r="CC23" s="79" t="s">
        <v>51</v>
      </c>
      <c r="CD23" s="67" t="s">
        <v>49</v>
      </c>
      <c r="CE23" s="67">
        <v>23.79</v>
      </c>
      <c r="CF23" s="67">
        <v>23.85</v>
      </c>
      <c r="CG23" s="67">
        <v>0.25220680958386588</v>
      </c>
      <c r="CH23" s="67">
        <v>6.64</v>
      </c>
      <c r="CI23" s="67">
        <v>6.6</v>
      </c>
      <c r="CJ23" s="67">
        <v>0.60240963855421326</v>
      </c>
      <c r="CK23" s="67">
        <v>5.75</v>
      </c>
      <c r="CL23" s="67">
        <v>5.84</v>
      </c>
      <c r="CM23" s="67">
        <v>1.5652173913043521</v>
      </c>
      <c r="CN23" s="67">
        <v>33.4</v>
      </c>
      <c r="CO23" s="67">
        <v>32.6</v>
      </c>
      <c r="CP23" s="67">
        <v>2.39520958083832</v>
      </c>
      <c r="CQ23" s="67">
        <v>4.49</v>
      </c>
      <c r="CR23" s="67">
        <v>5.51</v>
      </c>
      <c r="CS23" s="67">
        <v>22.717149220489972</v>
      </c>
      <c r="CT23" s="67" t="s">
        <v>197</v>
      </c>
      <c r="CU23" s="67">
        <v>0.56000000000000005</v>
      </c>
      <c r="CV23" s="67">
        <v>-0.41</v>
      </c>
      <c r="CW23" s="67">
        <v>173.21428571428569</v>
      </c>
      <c r="CX23" s="67">
        <v>5.52</v>
      </c>
      <c r="CZ23" s="67" t="s">
        <v>54</v>
      </c>
      <c r="DA23" s="67" t="s">
        <v>55</v>
      </c>
      <c r="DB23" s="141" t="str">
        <f t="shared" si="3"/>
        <v>Setembro</v>
      </c>
      <c r="DC23" s="141">
        <f t="shared" si="4"/>
        <v>2019</v>
      </c>
      <c r="DD23" s="142" t="str">
        <f t="shared" si="5"/>
        <v>COD016 Estação 16</v>
      </c>
      <c r="DL23" s="78"/>
      <c r="DM23" s="78"/>
      <c r="DN23" s="78"/>
      <c r="DO23" s="78"/>
      <c r="DP23" s="78"/>
      <c r="DQ23" s="78"/>
    </row>
    <row r="24" spans="1:121" ht="15" customHeight="1" x14ac:dyDescent="0.25">
      <c r="A24" s="78">
        <v>25191203</v>
      </c>
      <c r="B24" s="11" t="s">
        <v>322</v>
      </c>
      <c r="C24" s="12" t="s">
        <v>341</v>
      </c>
      <c r="D24" s="12" t="s">
        <v>55</v>
      </c>
      <c r="E24" s="12" t="s">
        <v>318</v>
      </c>
      <c r="F24" s="79">
        <v>43802</v>
      </c>
      <c r="G24" s="80">
        <v>0.4861111111111111</v>
      </c>
      <c r="H24" s="80">
        <v>0.51041666666666663</v>
      </c>
      <c r="I24" s="67">
        <v>22.8</v>
      </c>
      <c r="J24" s="67">
        <v>22.72</v>
      </c>
      <c r="K24" s="67">
        <v>0.35087719298246833</v>
      </c>
      <c r="L24" s="67">
        <v>4</v>
      </c>
      <c r="O24" s="67">
        <v>22.7</v>
      </c>
      <c r="R24" s="67">
        <v>3.92</v>
      </c>
      <c r="U24" s="67">
        <v>159.5</v>
      </c>
      <c r="AA24" s="67">
        <v>2.0000000000000018</v>
      </c>
      <c r="AB24" s="67" t="s">
        <v>183</v>
      </c>
      <c r="AC24" s="67" t="s">
        <v>183</v>
      </c>
      <c r="AD24" s="67">
        <v>147</v>
      </c>
      <c r="AE24" s="67">
        <v>150.80000000000001</v>
      </c>
      <c r="AG24" s="67">
        <v>0</v>
      </c>
      <c r="AH24" s="67">
        <v>2.5850340136054584</v>
      </c>
      <c r="AI24" s="67">
        <v>22.47</v>
      </c>
      <c r="AJ24" s="67">
        <v>710.5</v>
      </c>
      <c r="AK24" s="67">
        <v>8.085638925251839</v>
      </c>
      <c r="AL24" s="67">
        <v>93.486842105263165</v>
      </c>
      <c r="AM24" s="67">
        <v>8.1199999999999992</v>
      </c>
      <c r="AN24" s="67">
        <v>93.6</v>
      </c>
      <c r="AO24" s="67">
        <v>0.42496424915599018</v>
      </c>
      <c r="AP24" s="79">
        <v>43802</v>
      </c>
      <c r="AR24" s="67">
        <v>112</v>
      </c>
      <c r="AT24" s="67">
        <v>109.9</v>
      </c>
      <c r="AV24" s="67">
        <v>1.8749999999999933</v>
      </c>
      <c r="AW24" s="67" t="s">
        <v>183</v>
      </c>
      <c r="AX24" s="67">
        <v>2</v>
      </c>
      <c r="AY24" s="67" t="s">
        <v>49</v>
      </c>
      <c r="AZ24" s="67">
        <v>2</v>
      </c>
      <c r="BA24" s="67">
        <v>2</v>
      </c>
      <c r="BB24" s="67">
        <v>2</v>
      </c>
      <c r="BC24" s="67">
        <v>2</v>
      </c>
      <c r="BD24" s="67">
        <v>2</v>
      </c>
      <c r="BE24" s="67">
        <v>2</v>
      </c>
      <c r="BF24" s="67">
        <v>2</v>
      </c>
      <c r="BG24" s="67">
        <v>2</v>
      </c>
      <c r="BH24" s="67">
        <v>2</v>
      </c>
      <c r="BI24" s="67">
        <v>1</v>
      </c>
      <c r="BJ24" s="67">
        <v>2</v>
      </c>
      <c r="BK24" s="67">
        <v>2</v>
      </c>
      <c r="BL24" s="67">
        <v>2</v>
      </c>
      <c r="CC24" s="79"/>
      <c r="DB24" s="141" t="str">
        <f t="shared" si="3"/>
        <v>Setembro</v>
      </c>
      <c r="DC24" s="141">
        <f t="shared" si="4"/>
        <v>2019</v>
      </c>
      <c r="DD24" s="142" t="str">
        <f t="shared" si="5"/>
        <v>COD003 Estação 3</v>
      </c>
      <c r="DL24" s="78"/>
      <c r="DM24" s="78"/>
      <c r="DN24" s="78"/>
      <c r="DO24" s="78"/>
      <c r="DP24" s="78"/>
      <c r="DQ24" s="78"/>
    </row>
    <row r="25" spans="1:121" ht="15" customHeight="1" x14ac:dyDescent="0.25">
      <c r="A25" s="78">
        <v>25191220</v>
      </c>
      <c r="B25" s="11" t="s">
        <v>323</v>
      </c>
      <c r="C25" s="12" t="s">
        <v>342</v>
      </c>
      <c r="D25" s="12" t="s">
        <v>54</v>
      </c>
      <c r="E25" s="12" t="s">
        <v>55</v>
      </c>
      <c r="F25" s="79">
        <v>43819</v>
      </c>
      <c r="G25" s="80">
        <v>0.58333333333333337</v>
      </c>
      <c r="I25" s="67">
        <v>29.6</v>
      </c>
      <c r="J25" s="67">
        <v>29.3</v>
      </c>
      <c r="K25" s="67">
        <v>1.0135135135135198</v>
      </c>
      <c r="L25" s="67">
        <v>10</v>
      </c>
      <c r="O25" s="67">
        <v>29.3</v>
      </c>
      <c r="R25" s="67">
        <v>10.15</v>
      </c>
      <c r="AA25" s="67">
        <v>1.5000000000000124</v>
      </c>
      <c r="AB25" s="67" t="s">
        <v>183</v>
      </c>
      <c r="AC25" s="67" t="s">
        <v>183</v>
      </c>
      <c r="AD25" s="67">
        <v>147</v>
      </c>
      <c r="AE25" s="67">
        <v>147.69999999999999</v>
      </c>
      <c r="AG25" s="67">
        <v>0.7</v>
      </c>
      <c r="AH25" s="67">
        <v>0.4761904761904745</v>
      </c>
      <c r="AI25" s="67">
        <v>25.3</v>
      </c>
      <c r="AJ25" s="67">
        <v>709.7</v>
      </c>
      <c r="AK25" s="67">
        <v>7.6565521550525988</v>
      </c>
      <c r="AL25" s="67">
        <v>93.381578947368425</v>
      </c>
      <c r="AM25" s="67">
        <v>7.64</v>
      </c>
      <c r="AN25" s="67">
        <v>93</v>
      </c>
      <c r="AO25" s="67">
        <v>0.21618288124213292</v>
      </c>
      <c r="AP25" s="79">
        <v>43819</v>
      </c>
      <c r="AR25" s="67">
        <v>107</v>
      </c>
      <c r="AT25" s="67">
        <v>104.7</v>
      </c>
      <c r="AV25" s="67">
        <v>2.1495327102803663</v>
      </c>
      <c r="AW25" s="67" t="s">
        <v>183</v>
      </c>
      <c r="AX25" s="67">
        <v>2</v>
      </c>
      <c r="AY25" s="67" t="s">
        <v>49</v>
      </c>
      <c r="AZ25" s="67">
        <v>2</v>
      </c>
      <c r="BA25" s="67">
        <v>2</v>
      </c>
      <c r="BB25" s="67">
        <v>2</v>
      </c>
      <c r="BC25" s="67">
        <v>2</v>
      </c>
      <c r="BD25" s="67">
        <v>2</v>
      </c>
      <c r="BE25" s="67">
        <v>2</v>
      </c>
      <c r="BF25" s="67">
        <v>1</v>
      </c>
      <c r="BG25" s="67">
        <v>2</v>
      </c>
      <c r="BH25" s="67">
        <v>2</v>
      </c>
      <c r="BI25" s="67">
        <v>2</v>
      </c>
      <c r="BJ25" s="67">
        <v>2</v>
      </c>
      <c r="BK25" s="67">
        <v>2</v>
      </c>
      <c r="BL25" s="67">
        <v>2</v>
      </c>
      <c r="CC25" s="79"/>
      <c r="DB25" s="141" t="str">
        <f t="shared" si="3"/>
        <v>Setembro</v>
      </c>
      <c r="DC25" s="141">
        <f t="shared" si="4"/>
        <v>2019</v>
      </c>
      <c r="DD25" s="142" t="str">
        <f t="shared" si="5"/>
        <v>COD004 Estação 4</v>
      </c>
      <c r="DL25" s="78"/>
      <c r="DM25" s="78"/>
      <c r="DN25" s="78"/>
      <c r="DO25" s="78"/>
      <c r="DP25" s="78"/>
      <c r="DQ25" s="78"/>
    </row>
    <row r="26" spans="1:121" ht="15" customHeight="1" x14ac:dyDescent="0.25">
      <c r="A26" s="78">
        <v>25200102</v>
      </c>
      <c r="B26" s="11" t="s">
        <v>324</v>
      </c>
      <c r="C26" s="12" t="s">
        <v>343</v>
      </c>
      <c r="D26" s="12" t="s">
        <v>319</v>
      </c>
      <c r="E26" s="12" t="s">
        <v>54</v>
      </c>
      <c r="F26" s="79">
        <v>43832</v>
      </c>
      <c r="G26" s="80">
        <v>0.51111111111111118</v>
      </c>
      <c r="I26" s="67">
        <v>27</v>
      </c>
      <c r="J26" s="67">
        <v>26.99</v>
      </c>
      <c r="K26" s="67">
        <v>3.7037037037046527E-2</v>
      </c>
      <c r="L26" s="67">
        <v>7</v>
      </c>
      <c r="M26" s="67">
        <v>4</v>
      </c>
      <c r="N26" s="67">
        <v>10</v>
      </c>
      <c r="O26" s="67">
        <v>28.75</v>
      </c>
      <c r="P26" s="67">
        <v>28.75</v>
      </c>
      <c r="Q26" s="67">
        <v>28.54</v>
      </c>
      <c r="R26" s="67">
        <v>7.15</v>
      </c>
      <c r="S26" s="67">
        <v>3.97</v>
      </c>
      <c r="T26" s="67">
        <v>10</v>
      </c>
      <c r="AA26" s="67">
        <v>2.1428571428571574</v>
      </c>
      <c r="AB26" s="67">
        <v>0.74999999999999512</v>
      </c>
      <c r="AC26" s="67">
        <v>0</v>
      </c>
      <c r="AD26" s="67">
        <v>147</v>
      </c>
      <c r="AE26" s="67">
        <v>145.4</v>
      </c>
      <c r="AH26" s="67">
        <v>1.0884353741496544</v>
      </c>
      <c r="AI26" s="67">
        <v>26.5</v>
      </c>
      <c r="AJ26" s="67">
        <v>706.7</v>
      </c>
      <c r="AK26" s="67">
        <v>7.4569798622996615</v>
      </c>
      <c r="AL26" s="67">
        <v>92.986842105263165</v>
      </c>
      <c r="AM26" s="67">
        <v>7.4</v>
      </c>
      <c r="AN26" s="67">
        <v>92.6</v>
      </c>
      <c r="AO26" s="67">
        <v>0.76411447196920168</v>
      </c>
      <c r="AP26" s="79">
        <v>43832</v>
      </c>
      <c r="AR26" s="67">
        <v>106</v>
      </c>
      <c r="AT26" s="67">
        <v>105.6</v>
      </c>
      <c r="AV26" s="67">
        <v>0.37735849056603765</v>
      </c>
      <c r="AW26" s="67" t="s">
        <v>183</v>
      </c>
      <c r="AX26" s="67">
        <v>2</v>
      </c>
      <c r="AY26" s="67" t="s">
        <v>49</v>
      </c>
      <c r="AZ26" s="67">
        <v>2</v>
      </c>
      <c r="BA26" s="67">
        <v>1</v>
      </c>
      <c r="BB26" s="67">
        <v>2</v>
      </c>
      <c r="BC26" s="67">
        <v>2</v>
      </c>
      <c r="BD26" s="67">
        <v>2</v>
      </c>
      <c r="BE26" s="67">
        <v>2</v>
      </c>
      <c r="BF26" s="67">
        <v>2</v>
      </c>
      <c r="BG26" s="67">
        <v>2</v>
      </c>
      <c r="BH26" s="67">
        <v>1</v>
      </c>
      <c r="BI26" s="67">
        <v>1</v>
      </c>
      <c r="BJ26" s="67">
        <v>2</v>
      </c>
      <c r="BK26" s="67">
        <v>1</v>
      </c>
      <c r="BL26" s="67">
        <v>2</v>
      </c>
      <c r="BZ26" s="67" t="s">
        <v>191</v>
      </c>
      <c r="CA26" s="79">
        <v>44252</v>
      </c>
      <c r="CC26" s="79"/>
      <c r="CG26" s="67" t="s">
        <v>183</v>
      </c>
      <c r="CJ26" s="67" t="s">
        <v>183</v>
      </c>
      <c r="CM26" s="67" t="s">
        <v>183</v>
      </c>
      <c r="CP26" s="67" t="s">
        <v>183</v>
      </c>
      <c r="CS26" s="67" t="s">
        <v>183</v>
      </c>
      <c r="CW26" s="67" t="s">
        <v>183</v>
      </c>
      <c r="DB26" s="141" t="str">
        <f t="shared" si="3"/>
        <v>Janeiro</v>
      </c>
      <c r="DC26" s="141">
        <f t="shared" si="4"/>
        <v>2020</v>
      </c>
      <c r="DD26" s="142" t="str">
        <f t="shared" si="5"/>
        <v>COD005 Estação 5</v>
      </c>
      <c r="DL26" s="78"/>
      <c r="DM26" s="78"/>
      <c r="DN26" s="78"/>
      <c r="DO26" s="78"/>
      <c r="DP26" s="78"/>
      <c r="DQ26" s="78"/>
    </row>
    <row r="27" spans="1:121" ht="15" customHeight="1" x14ac:dyDescent="0.25">
      <c r="A27" s="78">
        <v>25200116</v>
      </c>
      <c r="B27" s="11" t="s">
        <v>325</v>
      </c>
      <c r="C27" s="12" t="s">
        <v>344</v>
      </c>
      <c r="D27" s="12" t="s">
        <v>314</v>
      </c>
      <c r="E27" s="12" t="s">
        <v>319</v>
      </c>
      <c r="F27" s="79">
        <v>43846</v>
      </c>
      <c r="G27" s="80">
        <v>0.44444444444444442</v>
      </c>
      <c r="I27" s="67">
        <v>26.9</v>
      </c>
      <c r="J27" s="67">
        <v>26.9</v>
      </c>
      <c r="K27" s="67">
        <v>0</v>
      </c>
      <c r="L27" s="67">
        <v>10</v>
      </c>
      <c r="O27" s="67">
        <v>27.34</v>
      </c>
      <c r="R27" s="67">
        <v>10.06</v>
      </c>
      <c r="U27" s="67">
        <v>190.5</v>
      </c>
      <c r="AA27" s="67">
        <v>0.60000000000000053</v>
      </c>
      <c r="AB27" s="67" t="s">
        <v>183</v>
      </c>
      <c r="AC27" s="67" t="s">
        <v>183</v>
      </c>
      <c r="AD27" s="67">
        <v>1410</v>
      </c>
      <c r="AE27" s="67">
        <v>1396</v>
      </c>
      <c r="AG27" s="67">
        <v>0.3</v>
      </c>
      <c r="AH27" s="67">
        <v>0.99290780141844115</v>
      </c>
      <c r="AI27" s="67">
        <v>28.5</v>
      </c>
      <c r="AJ27" s="67">
        <v>710</v>
      </c>
      <c r="AK27" s="67">
        <v>7.2284700800189894</v>
      </c>
      <c r="AL27" s="67">
        <v>93.421052631578945</v>
      </c>
      <c r="AM27" s="67">
        <v>7.2</v>
      </c>
      <c r="AN27" s="67">
        <v>93.3</v>
      </c>
      <c r="AO27" s="67">
        <v>0.39386038406227231</v>
      </c>
      <c r="AP27" s="79">
        <v>43846</v>
      </c>
      <c r="AR27" s="67">
        <v>103</v>
      </c>
      <c r="AT27" s="67">
        <v>105</v>
      </c>
      <c r="AV27" s="67">
        <v>1.9417475728155331</v>
      </c>
      <c r="AW27" s="67" t="s">
        <v>183</v>
      </c>
      <c r="AX27" s="67">
        <v>2</v>
      </c>
      <c r="AY27" s="67" t="s">
        <v>49</v>
      </c>
      <c r="AZ27" s="67">
        <v>2</v>
      </c>
      <c r="BA27" s="67">
        <v>2</v>
      </c>
      <c r="BB27" s="67">
        <v>2</v>
      </c>
      <c r="BC27" s="67">
        <v>2</v>
      </c>
      <c r="BD27" s="67">
        <v>2</v>
      </c>
      <c r="BE27" s="67">
        <v>2</v>
      </c>
      <c r="BF27" s="67">
        <v>2</v>
      </c>
      <c r="BG27" s="67">
        <v>2</v>
      </c>
      <c r="BH27" s="67">
        <v>2</v>
      </c>
      <c r="BI27" s="67">
        <v>1</v>
      </c>
      <c r="BJ27" s="67">
        <v>2</v>
      </c>
      <c r="BK27" s="67">
        <v>2</v>
      </c>
      <c r="BL27" s="67">
        <v>2</v>
      </c>
      <c r="CA27" s="79">
        <v>43860</v>
      </c>
      <c r="CB27" s="80">
        <v>0.46875</v>
      </c>
      <c r="CC27" s="79" t="s">
        <v>51</v>
      </c>
      <c r="CD27" s="67" t="s">
        <v>49</v>
      </c>
      <c r="CE27" s="67">
        <v>24.66</v>
      </c>
      <c r="CF27" s="67">
        <v>24.72</v>
      </c>
      <c r="CG27" s="67">
        <v>0.24330900243307862</v>
      </c>
      <c r="CH27" s="67">
        <v>6.21</v>
      </c>
      <c r="CI27" s="67">
        <v>6.55</v>
      </c>
      <c r="CJ27" s="67">
        <v>5.4750402576489554</v>
      </c>
      <c r="CK27" s="67">
        <v>2.82</v>
      </c>
      <c r="CL27" s="67">
        <v>2.48</v>
      </c>
      <c r="CM27" s="67">
        <v>12.056737588652478</v>
      </c>
      <c r="CN27" s="67">
        <v>38</v>
      </c>
      <c r="CO27" s="67">
        <v>37</v>
      </c>
      <c r="CP27" s="67">
        <v>2.6315789473684181</v>
      </c>
      <c r="CQ27" s="67">
        <v>32.090000000000003</v>
      </c>
      <c r="CR27" s="67">
        <v>34.450000000000003</v>
      </c>
      <c r="CS27" s="67">
        <v>7.354315986288551</v>
      </c>
      <c r="CW27" s="67" t="s">
        <v>183</v>
      </c>
      <c r="CX27" s="67">
        <v>4.92</v>
      </c>
      <c r="CZ27" s="67" t="s">
        <v>55</v>
      </c>
      <c r="DA27" s="67" t="s">
        <v>54</v>
      </c>
      <c r="DB27" s="141" t="str">
        <f t="shared" si="3"/>
        <v>Janeiro</v>
      </c>
      <c r="DC27" s="141">
        <f t="shared" si="4"/>
        <v>2020</v>
      </c>
      <c r="DD27" s="142" t="str">
        <f t="shared" si="5"/>
        <v>COD006 Estação 6</v>
      </c>
      <c r="DL27" s="78"/>
      <c r="DM27" s="78"/>
      <c r="DN27" s="78"/>
      <c r="DO27" s="78"/>
      <c r="DP27" s="78"/>
      <c r="DQ27" s="78"/>
    </row>
    <row r="28" spans="1:121" ht="15" customHeight="1" x14ac:dyDescent="0.25">
      <c r="A28" s="78">
        <v>25200130</v>
      </c>
      <c r="B28" s="11" t="s">
        <v>326</v>
      </c>
      <c r="C28" s="12" t="s">
        <v>345</v>
      </c>
      <c r="D28" s="12" t="s">
        <v>315</v>
      </c>
      <c r="E28" s="12" t="s">
        <v>317</v>
      </c>
      <c r="F28" s="79">
        <v>43860</v>
      </c>
      <c r="G28" s="80">
        <v>0.4513888888888889</v>
      </c>
      <c r="I28" s="67">
        <v>27.4</v>
      </c>
      <c r="J28" s="67">
        <v>27.5</v>
      </c>
      <c r="K28" s="67">
        <v>0.36496350364965124</v>
      </c>
      <c r="L28" s="67">
        <v>10</v>
      </c>
      <c r="R28" s="67">
        <v>10.119999999999999</v>
      </c>
      <c r="U28" s="67">
        <v>-193.9</v>
      </c>
      <c r="AA28" s="67">
        <v>1.2000000000000011</v>
      </c>
      <c r="AB28" s="67" t="s">
        <v>183</v>
      </c>
      <c r="AC28" s="67" t="s">
        <v>183</v>
      </c>
      <c r="AD28" s="67">
        <v>1410</v>
      </c>
      <c r="AE28" s="67">
        <v>1389</v>
      </c>
      <c r="AG28" s="67">
        <v>0.7</v>
      </c>
      <c r="AH28" s="67">
        <v>1.4893617021276562</v>
      </c>
      <c r="AI28" s="67">
        <v>32.4</v>
      </c>
      <c r="AJ28" s="67">
        <v>710.4</v>
      </c>
      <c r="AK28" s="67">
        <v>6.7587188153713242</v>
      </c>
      <c r="AL28" s="67">
        <v>93.473684210526315</v>
      </c>
      <c r="AM28" s="67">
        <v>6.74</v>
      </c>
      <c r="AN28" s="67">
        <v>92.7</v>
      </c>
      <c r="AO28" s="67">
        <v>0.27695804312426464</v>
      </c>
      <c r="AP28" s="79">
        <v>43860</v>
      </c>
      <c r="AR28" s="67">
        <v>102</v>
      </c>
      <c r="AT28" s="67">
        <v>102.2</v>
      </c>
      <c r="AV28" s="67">
        <v>0.19607843137254832</v>
      </c>
      <c r="AW28" s="67" t="s">
        <v>183</v>
      </c>
      <c r="AX28" s="67">
        <v>2</v>
      </c>
      <c r="AY28" s="67" t="s">
        <v>49</v>
      </c>
      <c r="AZ28" s="67">
        <v>2</v>
      </c>
      <c r="BA28" s="67">
        <v>2</v>
      </c>
      <c r="BB28" s="67">
        <v>2</v>
      </c>
      <c r="BC28" s="67">
        <v>2</v>
      </c>
      <c r="BD28" s="67">
        <v>2</v>
      </c>
      <c r="BE28" s="67">
        <v>2</v>
      </c>
      <c r="BF28" s="67">
        <v>2</v>
      </c>
      <c r="BG28" s="67">
        <v>2</v>
      </c>
      <c r="BH28" s="67">
        <v>2</v>
      </c>
      <c r="BI28" s="67">
        <v>2</v>
      </c>
      <c r="BJ28" s="67">
        <v>2</v>
      </c>
      <c r="BK28" s="67">
        <v>2</v>
      </c>
      <c r="BL28" s="67">
        <v>2</v>
      </c>
      <c r="CC28" s="79"/>
      <c r="DB28" s="141" t="str">
        <f t="shared" si="3"/>
        <v>Janeiro</v>
      </c>
      <c r="DC28" s="141">
        <f t="shared" si="4"/>
        <v>2020</v>
      </c>
      <c r="DD28" s="142" t="str">
        <f t="shared" si="5"/>
        <v>COD007 Estação 7</v>
      </c>
      <c r="DL28" s="78"/>
      <c r="DM28" s="78"/>
      <c r="DN28" s="78"/>
      <c r="DO28" s="78"/>
      <c r="DP28" s="78"/>
      <c r="DQ28" s="78"/>
    </row>
    <row r="29" spans="1:121" ht="15" customHeight="1" x14ac:dyDescent="0.25">
      <c r="A29" s="78">
        <v>26190703</v>
      </c>
      <c r="B29" s="11" t="s">
        <v>327</v>
      </c>
      <c r="C29" s="12" t="s">
        <v>346</v>
      </c>
      <c r="D29" s="12" t="s">
        <v>316</v>
      </c>
      <c r="E29" s="12" t="s">
        <v>318</v>
      </c>
      <c r="F29" s="79">
        <v>43649</v>
      </c>
      <c r="G29" s="80">
        <v>0.41666666666666669</v>
      </c>
      <c r="I29" s="67">
        <v>22.5</v>
      </c>
      <c r="J29" s="67">
        <v>22.7</v>
      </c>
      <c r="K29" s="67">
        <v>0.88888888888889461</v>
      </c>
      <c r="L29" s="67">
        <v>7</v>
      </c>
      <c r="O29" s="67">
        <v>23.1</v>
      </c>
      <c r="R29" s="67">
        <v>6.99</v>
      </c>
      <c r="U29" s="67">
        <v>-80.8</v>
      </c>
      <c r="X29" s="67">
        <v>49</v>
      </c>
      <c r="AA29" s="67">
        <v>0.14285714285714457</v>
      </c>
      <c r="AB29" s="67" t="s">
        <v>183</v>
      </c>
      <c r="AC29" s="67" t="s">
        <v>183</v>
      </c>
      <c r="AD29" s="67">
        <v>146.9</v>
      </c>
      <c r="AE29" s="67">
        <v>150.69999999999999</v>
      </c>
      <c r="AG29" s="67">
        <v>0.9</v>
      </c>
      <c r="AH29" s="67">
        <v>2.5867937372362038</v>
      </c>
      <c r="AI29" s="67">
        <v>22.5</v>
      </c>
      <c r="AJ29" s="67">
        <v>715.7</v>
      </c>
      <c r="AK29" s="67">
        <v>8.1418315777799517</v>
      </c>
      <c r="AL29" s="67">
        <v>94.171052631578959</v>
      </c>
      <c r="AM29" s="67">
        <v>8.16</v>
      </c>
      <c r="AN29" s="67">
        <v>94.3</v>
      </c>
      <c r="AO29" s="67">
        <v>0.22314907949745333</v>
      </c>
      <c r="AP29" s="79">
        <v>43648</v>
      </c>
      <c r="AR29" s="67">
        <v>101</v>
      </c>
      <c r="AT29" s="67">
        <v>99.2</v>
      </c>
      <c r="AV29" s="67">
        <v>1.7821782178217838</v>
      </c>
      <c r="AW29" s="67" t="s">
        <v>183</v>
      </c>
      <c r="AX29" s="67">
        <v>2</v>
      </c>
      <c r="AY29" s="67" t="s">
        <v>44</v>
      </c>
      <c r="AZ29" s="67">
        <v>2</v>
      </c>
      <c r="BA29" s="67">
        <v>2</v>
      </c>
      <c r="BB29" s="67">
        <v>2</v>
      </c>
      <c r="BC29" s="67">
        <v>2</v>
      </c>
      <c r="BD29" s="67">
        <v>2</v>
      </c>
      <c r="BE29" s="67">
        <v>2</v>
      </c>
      <c r="BF29" s="67">
        <v>2</v>
      </c>
      <c r="BG29" s="67">
        <v>2</v>
      </c>
      <c r="BH29" s="67">
        <v>2</v>
      </c>
      <c r="BI29" s="67">
        <v>2</v>
      </c>
      <c r="BJ29" s="67">
        <v>2</v>
      </c>
      <c r="BK29" s="67">
        <v>2</v>
      </c>
      <c r="BL29" s="67">
        <v>2</v>
      </c>
      <c r="CA29" s="79">
        <v>43663</v>
      </c>
      <c r="CC29" s="79" t="s">
        <v>51</v>
      </c>
      <c r="CD29" s="67" t="s">
        <v>44</v>
      </c>
      <c r="CE29" s="67">
        <v>19.29</v>
      </c>
      <c r="CF29" s="67">
        <v>19.28</v>
      </c>
      <c r="CG29" s="67">
        <v>5.1840331778107984E-2</v>
      </c>
      <c r="CH29" s="67">
        <v>6.79</v>
      </c>
      <c r="CI29" s="67">
        <v>6.39</v>
      </c>
      <c r="CJ29" s="67">
        <v>5.8910162002945521</v>
      </c>
      <c r="CK29" s="67">
        <v>6.27</v>
      </c>
      <c r="CL29" s="67">
        <v>6.3310000000000004</v>
      </c>
      <c r="CM29" s="67">
        <v>0.97288676236046978</v>
      </c>
      <c r="CN29" s="67">
        <v>94.1</v>
      </c>
      <c r="CO29" s="67">
        <v>93.3</v>
      </c>
      <c r="CP29" s="67">
        <v>0.85015940488841757</v>
      </c>
      <c r="CQ29" s="67">
        <v>13.4</v>
      </c>
      <c r="CR29" s="67">
        <v>13.5</v>
      </c>
      <c r="CS29" s="67">
        <v>0.74626865671640896</v>
      </c>
      <c r="CW29" s="67" t="s">
        <v>183</v>
      </c>
      <c r="CZ29" s="67" t="s">
        <v>56</v>
      </c>
      <c r="DA29" s="67" t="s">
        <v>55</v>
      </c>
      <c r="DB29" s="141" t="str">
        <f t="shared" si="3"/>
        <v>Julho</v>
      </c>
      <c r="DC29" s="141">
        <f t="shared" si="4"/>
        <v>2019</v>
      </c>
      <c r="DD29" s="142" t="str">
        <f t="shared" si="5"/>
        <v>COD008 Estação 8</v>
      </c>
      <c r="DL29" s="78"/>
      <c r="DM29" s="78"/>
      <c r="DN29" s="78"/>
      <c r="DO29" s="78"/>
      <c r="DP29" s="78"/>
      <c r="DQ29" s="78"/>
    </row>
    <row r="30" spans="1:121" ht="15" customHeight="1" x14ac:dyDescent="0.25">
      <c r="A30" s="78">
        <v>26190717</v>
      </c>
      <c r="B30" s="11" t="s">
        <v>328</v>
      </c>
      <c r="C30" s="12" t="s">
        <v>347</v>
      </c>
      <c r="D30" s="12" t="s">
        <v>317</v>
      </c>
      <c r="E30" s="12" t="s">
        <v>55</v>
      </c>
      <c r="F30" s="79">
        <v>43663</v>
      </c>
      <c r="G30" s="80">
        <v>0.4513888888888889</v>
      </c>
      <c r="I30" s="67">
        <v>15.9</v>
      </c>
      <c r="J30" s="67">
        <v>15.9</v>
      </c>
      <c r="K30" s="67">
        <v>0</v>
      </c>
      <c r="L30" s="67">
        <v>7</v>
      </c>
      <c r="M30" s="67">
        <v>4</v>
      </c>
      <c r="N30" s="67">
        <v>10</v>
      </c>
      <c r="O30" s="67">
        <v>17.899999999999999</v>
      </c>
      <c r="P30" s="67">
        <v>19.079999999999998</v>
      </c>
      <c r="Q30" s="67">
        <v>18.7</v>
      </c>
      <c r="R30" s="67">
        <v>7.01</v>
      </c>
      <c r="S30" s="67">
        <v>4</v>
      </c>
      <c r="T30" s="67">
        <v>10</v>
      </c>
      <c r="U30" s="67">
        <v>-1.26</v>
      </c>
      <c r="V30" s="67">
        <v>-176.04</v>
      </c>
      <c r="W30" s="67">
        <v>171.34</v>
      </c>
      <c r="X30" s="67">
        <v>-58</v>
      </c>
      <c r="Y30" s="67">
        <v>-57</v>
      </c>
      <c r="AA30" s="67">
        <v>0.14285714285713347</v>
      </c>
      <c r="AB30" s="67">
        <v>0</v>
      </c>
      <c r="AC30" s="67">
        <v>0</v>
      </c>
      <c r="AD30" s="67">
        <v>146.9</v>
      </c>
      <c r="AE30" s="67">
        <v>145.80000000000001</v>
      </c>
      <c r="AG30" s="67">
        <v>0.3</v>
      </c>
      <c r="AH30" s="67">
        <v>0.74880871341047595</v>
      </c>
      <c r="AI30" s="67">
        <v>16.78</v>
      </c>
      <c r="AJ30" s="67">
        <v>725.9</v>
      </c>
      <c r="AK30" s="67">
        <v>9.2657233895160687</v>
      </c>
      <c r="AL30" s="67">
        <v>95.51315789473685</v>
      </c>
      <c r="AM30" s="67">
        <v>9.3699999999999992</v>
      </c>
      <c r="AN30" s="67">
        <v>96.3</v>
      </c>
      <c r="AO30" s="67">
        <v>1.1254017209483713</v>
      </c>
      <c r="AP30" s="79">
        <v>43661</v>
      </c>
      <c r="AR30" s="67">
        <v>104</v>
      </c>
      <c r="AT30" s="67">
        <v>103.1</v>
      </c>
      <c r="AV30" s="67">
        <v>0.86538461538462341</v>
      </c>
      <c r="AW30" s="67" t="s">
        <v>183</v>
      </c>
      <c r="AX30" s="67">
        <v>2</v>
      </c>
      <c r="AY30" s="67" t="s">
        <v>44</v>
      </c>
      <c r="AZ30" s="67">
        <v>2</v>
      </c>
      <c r="BA30" s="67">
        <v>1</v>
      </c>
      <c r="BB30" s="67">
        <v>2</v>
      </c>
      <c r="BC30" s="67">
        <v>2</v>
      </c>
      <c r="BD30" s="67">
        <v>2</v>
      </c>
      <c r="BE30" s="67">
        <v>2</v>
      </c>
      <c r="BF30" s="67">
        <v>2</v>
      </c>
      <c r="BG30" s="67">
        <v>2</v>
      </c>
      <c r="BH30" s="67">
        <v>1</v>
      </c>
      <c r="BI30" s="67">
        <v>2</v>
      </c>
      <c r="BJ30" s="67">
        <v>2</v>
      </c>
      <c r="BK30" s="67">
        <v>2</v>
      </c>
      <c r="BL30" s="67">
        <v>2</v>
      </c>
      <c r="CA30" s="79">
        <v>43677</v>
      </c>
      <c r="CB30" s="80">
        <v>0.4375</v>
      </c>
      <c r="CC30" s="79" t="s">
        <v>51</v>
      </c>
      <c r="CE30" s="67">
        <v>20.41</v>
      </c>
      <c r="CF30" s="67">
        <v>20.399999999999999</v>
      </c>
      <c r="CG30" s="67">
        <v>4.8995590396871957E-2</v>
      </c>
      <c r="CH30" s="67">
        <v>6.64</v>
      </c>
      <c r="CI30" s="67">
        <v>7.28</v>
      </c>
      <c r="CJ30" s="67">
        <v>9.6385542168674796</v>
      </c>
      <c r="CK30" s="67">
        <v>5.89</v>
      </c>
      <c r="CL30" s="67">
        <v>6.02</v>
      </c>
      <c r="CM30" s="67">
        <v>2.2071307300509213</v>
      </c>
      <c r="CN30" s="67">
        <v>92.9</v>
      </c>
      <c r="CO30" s="67">
        <v>91.6</v>
      </c>
      <c r="CP30" s="67">
        <v>1.3993541442411273</v>
      </c>
      <c r="CQ30" s="67">
        <v>11.8</v>
      </c>
      <c r="CR30" s="67">
        <v>11.21</v>
      </c>
      <c r="CS30" s="67">
        <v>4.9999999999999929</v>
      </c>
      <c r="CW30" s="67" t="s">
        <v>183</v>
      </c>
      <c r="CZ30" s="67" t="s">
        <v>54</v>
      </c>
      <c r="DA30" s="67" t="s">
        <v>55</v>
      </c>
      <c r="DB30" s="141" t="str">
        <f t="shared" si="3"/>
        <v>Julho</v>
      </c>
      <c r="DC30" s="141">
        <f t="shared" si="4"/>
        <v>2019</v>
      </c>
      <c r="DD30" s="142" t="str">
        <f t="shared" si="5"/>
        <v>COD009 Estação 9</v>
      </c>
      <c r="DL30" s="78"/>
      <c r="DM30" s="78"/>
      <c r="DN30" s="78"/>
      <c r="DO30" s="78"/>
      <c r="DP30" s="78"/>
      <c r="DQ30" s="78"/>
    </row>
    <row r="31" spans="1:121" ht="15" customHeight="1" x14ac:dyDescent="0.25">
      <c r="A31" s="78">
        <v>26190731</v>
      </c>
      <c r="B31" s="11" t="s">
        <v>329</v>
      </c>
      <c r="C31" s="12" t="s">
        <v>348</v>
      </c>
      <c r="D31" s="12" t="s">
        <v>318</v>
      </c>
      <c r="E31" s="12" t="s">
        <v>55</v>
      </c>
      <c r="F31" s="118">
        <v>43677</v>
      </c>
      <c r="G31" s="119">
        <v>0.41666666666666669</v>
      </c>
      <c r="H31" s="119"/>
      <c r="I31" s="117">
        <v>20.100000000000001</v>
      </c>
      <c r="J31" s="117">
        <v>20.100000000000001</v>
      </c>
      <c r="K31" s="117">
        <v>0</v>
      </c>
      <c r="L31" s="117">
        <v>7</v>
      </c>
      <c r="M31" s="117"/>
      <c r="N31" s="117"/>
      <c r="O31" s="117">
        <v>20.100000000000001</v>
      </c>
      <c r="P31" s="117"/>
      <c r="Q31" s="117"/>
      <c r="R31" s="117">
        <v>7.02</v>
      </c>
      <c r="S31" s="117"/>
      <c r="T31" s="117"/>
      <c r="U31" s="117"/>
      <c r="V31" s="117"/>
      <c r="W31" s="117"/>
      <c r="X31" s="117"/>
      <c r="Y31" s="117"/>
      <c r="Z31" s="117"/>
      <c r="AA31" s="117">
        <v>0.28571428571428914</v>
      </c>
      <c r="AB31" s="117" t="s">
        <v>183</v>
      </c>
      <c r="AC31" s="117" t="s">
        <v>183</v>
      </c>
      <c r="AD31" s="117">
        <v>146.69999999999999</v>
      </c>
      <c r="AE31" s="117">
        <v>151.4</v>
      </c>
      <c r="AF31" s="117"/>
      <c r="AG31" s="117">
        <v>2.2000000000000002</v>
      </c>
      <c r="AH31" s="117">
        <v>3.2038173142467707</v>
      </c>
      <c r="AI31" s="117">
        <v>20.7</v>
      </c>
      <c r="AJ31" s="117">
        <v>720</v>
      </c>
      <c r="AK31" s="117">
        <v>8.4842613170274248</v>
      </c>
      <c r="AL31" s="117">
        <v>94.736842105263165</v>
      </c>
      <c r="AM31" s="117">
        <v>8.52</v>
      </c>
      <c r="AN31" s="117"/>
      <c r="AO31" s="117">
        <v>0.42123505673792305</v>
      </c>
      <c r="AP31" s="118">
        <v>43676</v>
      </c>
      <c r="AQ31" s="118"/>
      <c r="AR31" s="117">
        <v>97.6</v>
      </c>
      <c r="AS31" s="117"/>
      <c r="AT31" s="117">
        <v>101.7</v>
      </c>
      <c r="AU31" s="117"/>
      <c r="AV31" s="117">
        <v>4.2008196721311508</v>
      </c>
      <c r="AW31" s="117" t="s">
        <v>183</v>
      </c>
      <c r="AX31" s="117">
        <v>2</v>
      </c>
      <c r="AY31" s="117"/>
      <c r="AZ31" s="117">
        <v>2</v>
      </c>
      <c r="BA31" s="117">
        <v>2</v>
      </c>
      <c r="BB31" s="117">
        <v>2</v>
      </c>
      <c r="BC31" s="117">
        <v>2</v>
      </c>
      <c r="BD31" s="117">
        <v>2</v>
      </c>
      <c r="BE31" s="117">
        <v>2</v>
      </c>
      <c r="BF31" s="117">
        <v>2</v>
      </c>
      <c r="BG31" s="117">
        <v>2</v>
      </c>
      <c r="BH31" s="117">
        <v>2</v>
      </c>
      <c r="BI31" s="117">
        <v>2</v>
      </c>
      <c r="BJ31" s="117">
        <v>2</v>
      </c>
      <c r="BK31" s="117">
        <v>2</v>
      </c>
      <c r="BL31" s="117">
        <v>2</v>
      </c>
      <c r="BM31" s="117"/>
      <c r="BN31" s="117"/>
      <c r="BO31" s="117"/>
      <c r="BP31" s="117"/>
      <c r="BQ31" s="117"/>
      <c r="BR31" s="117"/>
      <c r="BS31" s="117"/>
      <c r="BT31" s="117"/>
      <c r="BU31" s="117"/>
      <c r="BV31" s="117"/>
      <c r="BW31" s="117"/>
      <c r="BX31" s="117"/>
      <c r="BY31" s="117"/>
      <c r="BZ31" s="117"/>
      <c r="CA31" s="118">
        <v>43691</v>
      </c>
      <c r="CB31" s="119">
        <v>0.4375</v>
      </c>
      <c r="CC31" s="118" t="s">
        <v>51</v>
      </c>
      <c r="CD31" s="117" t="s">
        <v>44</v>
      </c>
      <c r="CE31" s="117">
        <v>21.67</v>
      </c>
      <c r="CF31" s="117">
        <v>21.67</v>
      </c>
      <c r="CG31" s="117">
        <v>0</v>
      </c>
      <c r="CH31" s="117">
        <v>6.73</v>
      </c>
      <c r="CI31" s="117">
        <v>7.34</v>
      </c>
      <c r="CJ31" s="117">
        <v>9.0638930163447142</v>
      </c>
      <c r="CK31" s="117">
        <v>5.77</v>
      </c>
      <c r="CL31" s="117">
        <v>5.9</v>
      </c>
      <c r="CM31" s="117">
        <v>2.2530329289428108</v>
      </c>
      <c r="CN31" s="117">
        <v>78.400000000000006</v>
      </c>
      <c r="CO31" s="117">
        <v>77.510000000000005</v>
      </c>
      <c r="CP31" s="117">
        <v>1.135204081632657</v>
      </c>
      <c r="CQ31" s="117">
        <v>17.52</v>
      </c>
      <c r="CR31" s="117">
        <v>16.760000000000002</v>
      </c>
      <c r="CS31" s="117">
        <v>4.3378995433789864</v>
      </c>
      <c r="CT31" s="117"/>
      <c r="CU31" s="117"/>
      <c r="CV31" s="117"/>
      <c r="CW31" s="117" t="s">
        <v>183</v>
      </c>
      <c r="CX31" s="117">
        <v>6.02</v>
      </c>
      <c r="CY31" s="117"/>
      <c r="CZ31" s="117" t="s">
        <v>54</v>
      </c>
      <c r="DA31" s="117" t="s">
        <v>55</v>
      </c>
      <c r="DB31" s="141" t="str">
        <f t="shared" si="3"/>
        <v>Julho</v>
      </c>
      <c r="DC31" s="141">
        <f t="shared" si="4"/>
        <v>2019</v>
      </c>
      <c r="DD31" s="142" t="str">
        <f t="shared" si="5"/>
        <v>COD010 Estação 10</v>
      </c>
      <c r="DL31" s="78"/>
      <c r="DM31" s="78"/>
      <c r="DN31" s="78"/>
      <c r="DO31" s="78"/>
      <c r="DP31" s="78"/>
      <c r="DQ31" s="78"/>
    </row>
    <row r="32" spans="1:121" ht="15" customHeight="1" x14ac:dyDescent="0.25">
      <c r="A32" s="78">
        <v>26190814</v>
      </c>
      <c r="B32" s="11" t="s">
        <v>330</v>
      </c>
      <c r="C32" s="12" t="s">
        <v>349</v>
      </c>
      <c r="D32" s="12" t="s">
        <v>55</v>
      </c>
      <c r="E32" s="12" t="s">
        <v>54</v>
      </c>
      <c r="F32" s="118">
        <v>43691</v>
      </c>
      <c r="G32" s="119">
        <v>0.4236111111111111</v>
      </c>
      <c r="H32" s="119">
        <v>0.4513888888888889</v>
      </c>
      <c r="I32" s="117">
        <v>18.399999999999999</v>
      </c>
      <c r="J32" s="117">
        <v>18.489999999999998</v>
      </c>
      <c r="K32" s="117">
        <v>0.4891304347826031</v>
      </c>
      <c r="L32" s="117">
        <v>7</v>
      </c>
      <c r="M32" s="117">
        <v>10</v>
      </c>
      <c r="N32" s="117">
        <v>4</v>
      </c>
      <c r="O32" s="117">
        <v>18.324999999999999</v>
      </c>
      <c r="P32" s="117">
        <v>18.335000000000001</v>
      </c>
      <c r="Q32" s="117">
        <v>18.152999999999999</v>
      </c>
      <c r="R32" s="117">
        <v>7.03</v>
      </c>
      <c r="S32" s="117">
        <v>10.07</v>
      </c>
      <c r="T32" s="117">
        <v>3.97</v>
      </c>
      <c r="U32" s="117">
        <v>-8</v>
      </c>
      <c r="V32" s="117">
        <v>-178.7</v>
      </c>
      <c r="W32" s="117">
        <v>170.9</v>
      </c>
      <c r="X32" s="117"/>
      <c r="Y32" s="117">
        <v>56.14</v>
      </c>
      <c r="Z32" s="117">
        <v>59.07</v>
      </c>
      <c r="AA32" s="117">
        <v>0.42857142857142261</v>
      </c>
      <c r="AB32" s="117">
        <v>0.70000000000001172</v>
      </c>
      <c r="AC32" s="117">
        <v>0.74999999999999512</v>
      </c>
      <c r="AD32" s="117">
        <v>147</v>
      </c>
      <c r="AE32" s="117">
        <v>145.6</v>
      </c>
      <c r="AF32" s="117"/>
      <c r="AG32" s="117">
        <v>0.3</v>
      </c>
      <c r="AH32" s="117">
        <v>0.9523809523809601</v>
      </c>
      <c r="AI32" s="117">
        <v>17.899999999999999</v>
      </c>
      <c r="AJ32" s="117">
        <v>728.2</v>
      </c>
      <c r="AK32" s="117">
        <v>9.0816077845944037</v>
      </c>
      <c r="AL32" s="117">
        <v>95.81578947368422</v>
      </c>
      <c r="AM32" s="117">
        <v>9.14</v>
      </c>
      <c r="AN32" s="117">
        <v>96.4</v>
      </c>
      <c r="AO32" s="117">
        <v>0.64297222243676622</v>
      </c>
      <c r="AP32" s="118">
        <v>43689</v>
      </c>
      <c r="AQ32" s="118"/>
      <c r="AR32" s="117">
        <v>95.5</v>
      </c>
      <c r="AS32" s="117"/>
      <c r="AT32" s="117">
        <v>90.3</v>
      </c>
      <c r="AU32" s="117"/>
      <c r="AV32" s="117">
        <v>5.4450261780104707</v>
      </c>
      <c r="AW32" s="117" t="s">
        <v>183</v>
      </c>
      <c r="AX32" s="117">
        <v>2</v>
      </c>
      <c r="AY32" s="117" t="s">
        <v>44</v>
      </c>
      <c r="AZ32" s="117">
        <v>2</v>
      </c>
      <c r="BA32" s="117">
        <v>2</v>
      </c>
      <c r="BB32" s="117">
        <v>2</v>
      </c>
      <c r="BC32" s="117">
        <v>2</v>
      </c>
      <c r="BD32" s="117">
        <v>2</v>
      </c>
      <c r="BE32" s="117">
        <v>2</v>
      </c>
      <c r="BF32" s="117">
        <v>2</v>
      </c>
      <c r="BG32" s="117">
        <v>2</v>
      </c>
      <c r="BH32" s="117">
        <v>1</v>
      </c>
      <c r="BI32" s="117">
        <v>2</v>
      </c>
      <c r="BJ32" s="117">
        <v>2</v>
      </c>
      <c r="BK32" s="117">
        <v>2</v>
      </c>
      <c r="BL32" s="117">
        <v>2</v>
      </c>
      <c r="BM32" s="117"/>
      <c r="BN32" s="117"/>
      <c r="BO32" s="117"/>
      <c r="BP32" s="117"/>
      <c r="BQ32" s="117"/>
      <c r="BR32" s="117"/>
      <c r="BS32" s="117"/>
      <c r="BT32" s="117"/>
      <c r="BU32" s="117"/>
      <c r="BV32" s="117"/>
      <c r="BW32" s="117"/>
      <c r="BX32" s="117"/>
      <c r="BY32" s="117"/>
      <c r="BZ32" s="117" t="s">
        <v>205</v>
      </c>
      <c r="CA32" s="118">
        <v>43705</v>
      </c>
      <c r="CB32" s="119">
        <v>0.4201388888888889</v>
      </c>
      <c r="CC32" s="118" t="s">
        <v>51</v>
      </c>
      <c r="CD32" s="117" t="s">
        <v>44</v>
      </c>
      <c r="CE32" s="117">
        <v>20.440000000000001</v>
      </c>
      <c r="CF32" s="117">
        <v>20.420000000000002</v>
      </c>
      <c r="CG32" s="117">
        <v>9.7847358121327943E-2</v>
      </c>
      <c r="CH32" s="117">
        <v>6.74</v>
      </c>
      <c r="CI32" s="117">
        <v>6.62</v>
      </c>
      <c r="CJ32" s="117">
        <v>1.7804154302670683</v>
      </c>
      <c r="CK32" s="117">
        <v>6.2</v>
      </c>
      <c r="CL32" s="117">
        <v>6.29</v>
      </c>
      <c r="CM32" s="117">
        <v>1.4516129032257963</v>
      </c>
      <c r="CN32" s="117">
        <v>62.6</v>
      </c>
      <c r="CO32" s="117">
        <v>61.9</v>
      </c>
      <c r="CP32" s="117">
        <v>1.1182108626198173</v>
      </c>
      <c r="CQ32" s="117">
        <v>16.54</v>
      </c>
      <c r="CR32" s="117">
        <v>15.53</v>
      </c>
      <c r="CS32" s="117">
        <v>6.1064087061668655</v>
      </c>
      <c r="CT32" s="117"/>
      <c r="CU32" s="117"/>
      <c r="CV32" s="117"/>
      <c r="CW32" s="117" t="s">
        <v>183</v>
      </c>
      <c r="CX32" s="117"/>
      <c r="CY32" s="117"/>
      <c r="CZ32" s="117" t="s">
        <v>54</v>
      </c>
      <c r="DA32" s="117" t="s">
        <v>56</v>
      </c>
      <c r="DB32" s="141" t="str">
        <f t="shared" si="3"/>
        <v>Agosto</v>
      </c>
      <c r="DC32" s="141">
        <f t="shared" si="4"/>
        <v>2019</v>
      </c>
      <c r="DD32" s="142" t="str">
        <f t="shared" si="5"/>
        <v>COD011 Estação 11</v>
      </c>
      <c r="DL32" s="78"/>
      <c r="DM32" s="78"/>
      <c r="DN32" s="78"/>
      <c r="DO32" s="78"/>
      <c r="DP32" s="78"/>
      <c r="DQ32" s="78"/>
    </row>
    <row r="33" spans="1:121" ht="15" customHeight="1" x14ac:dyDescent="0.25">
      <c r="A33" s="78">
        <v>26190828</v>
      </c>
      <c r="B33" s="11" t="s">
        <v>331</v>
      </c>
      <c r="C33" s="12" t="s">
        <v>350</v>
      </c>
      <c r="D33" s="12" t="s">
        <v>54</v>
      </c>
      <c r="E33" s="12" t="s">
        <v>319</v>
      </c>
      <c r="F33" s="118">
        <v>43705</v>
      </c>
      <c r="G33" s="119">
        <v>0.41250000000000003</v>
      </c>
      <c r="H33" s="119"/>
      <c r="I33" s="117">
        <v>21.4</v>
      </c>
      <c r="J33" s="117">
        <v>21.411999999999999</v>
      </c>
      <c r="K33" s="117">
        <v>5.6074766355140859E-2</v>
      </c>
      <c r="L33" s="117">
        <v>10</v>
      </c>
      <c r="M33" s="117"/>
      <c r="N33" s="117"/>
      <c r="O33" s="117">
        <v>21.35</v>
      </c>
      <c r="P33" s="117"/>
      <c r="Q33" s="117"/>
      <c r="R33" s="117">
        <v>10.039999999999999</v>
      </c>
      <c r="S33" s="117"/>
      <c r="T33" s="117"/>
      <c r="U33" s="117"/>
      <c r="V33" s="117"/>
      <c r="W33" s="117"/>
      <c r="X33" s="117"/>
      <c r="Y33" s="117"/>
      <c r="Z33" s="117"/>
      <c r="AA33" s="117">
        <v>0.40000000000000036</v>
      </c>
      <c r="AB33" s="117" t="s">
        <v>183</v>
      </c>
      <c r="AC33" s="117" t="s">
        <v>183</v>
      </c>
      <c r="AD33" s="117">
        <v>147</v>
      </c>
      <c r="AE33" s="117">
        <v>144.6</v>
      </c>
      <c r="AF33" s="117"/>
      <c r="AG33" s="117"/>
      <c r="AH33" s="117">
        <v>1.6326530612244983</v>
      </c>
      <c r="AI33" s="117">
        <v>20.7</v>
      </c>
      <c r="AJ33" s="117">
        <v>725.8</v>
      </c>
      <c r="AK33" s="117">
        <v>8.5543440632857273</v>
      </c>
      <c r="AL33" s="117">
        <v>95.5</v>
      </c>
      <c r="AM33" s="117">
        <v>8.6</v>
      </c>
      <c r="AN33" s="117">
        <v>95.9</v>
      </c>
      <c r="AO33" s="117">
        <v>0.53371639457691078</v>
      </c>
      <c r="AP33" s="118">
        <v>43704</v>
      </c>
      <c r="AQ33" s="118"/>
      <c r="AR33" s="117">
        <v>105</v>
      </c>
      <c r="AS33" s="117">
        <v>105</v>
      </c>
      <c r="AT33" s="117">
        <v>100.04</v>
      </c>
      <c r="AU33" s="117"/>
      <c r="AV33" s="117">
        <v>4.7238095238095195</v>
      </c>
      <c r="AW33" s="117" t="s">
        <v>183</v>
      </c>
      <c r="AX33" s="117">
        <v>2</v>
      </c>
      <c r="AY33" s="117" t="s">
        <v>44</v>
      </c>
      <c r="AZ33" s="117">
        <v>2</v>
      </c>
      <c r="BA33" s="117">
        <v>2</v>
      </c>
      <c r="BB33" s="117">
        <v>2</v>
      </c>
      <c r="BC33" s="117">
        <v>2</v>
      </c>
      <c r="BD33" s="117">
        <v>2</v>
      </c>
      <c r="BE33" s="117">
        <v>2</v>
      </c>
      <c r="BF33" s="117">
        <v>2</v>
      </c>
      <c r="BG33" s="117">
        <v>2</v>
      </c>
      <c r="BH33" s="117">
        <v>2</v>
      </c>
      <c r="BI33" s="117">
        <v>2</v>
      </c>
      <c r="BJ33" s="117">
        <v>2</v>
      </c>
      <c r="BK33" s="117">
        <v>2</v>
      </c>
      <c r="BL33" s="117">
        <v>2</v>
      </c>
      <c r="BM33" s="117"/>
      <c r="BN33" s="117"/>
      <c r="BO33" s="117"/>
      <c r="BP33" s="117"/>
      <c r="BQ33" s="117"/>
      <c r="BR33" s="117"/>
      <c r="BS33" s="117"/>
      <c r="BT33" s="117"/>
      <c r="BU33" s="117"/>
      <c r="BV33" s="117"/>
      <c r="BW33" s="117"/>
      <c r="BX33" s="117"/>
      <c r="BY33" s="117"/>
      <c r="BZ33" s="117"/>
      <c r="CA33" s="118">
        <v>43719</v>
      </c>
      <c r="CB33" s="119">
        <v>0.43402777777777773</v>
      </c>
      <c r="CC33" s="118" t="s">
        <v>51</v>
      </c>
      <c r="CD33" s="117" t="s">
        <v>44</v>
      </c>
      <c r="CE33" s="117">
        <v>22.42</v>
      </c>
      <c r="CF33" s="117">
        <v>22.43</v>
      </c>
      <c r="CG33" s="117">
        <v>4.46030330062408E-2</v>
      </c>
      <c r="CH33" s="117">
        <v>6.72</v>
      </c>
      <c r="CI33" s="117">
        <v>6.66</v>
      </c>
      <c r="CJ33" s="117">
        <v>0.89285714285713969</v>
      </c>
      <c r="CK33" s="117">
        <v>5.6</v>
      </c>
      <c r="CL33" s="117">
        <v>5.6</v>
      </c>
      <c r="CM33" s="117">
        <v>0</v>
      </c>
      <c r="CN33" s="117">
        <v>78.099999999999994</v>
      </c>
      <c r="CO33" s="117">
        <v>77.08</v>
      </c>
      <c r="CP33" s="117">
        <v>1.3060179257362359</v>
      </c>
      <c r="CQ33" s="117">
        <v>11.28</v>
      </c>
      <c r="CR33" s="117">
        <v>11.75</v>
      </c>
      <c r="CS33" s="117">
        <v>4.1666666666666741</v>
      </c>
      <c r="CT33" s="117"/>
      <c r="CU33" s="117"/>
      <c r="CV33" s="117"/>
      <c r="CW33" s="117" t="s">
        <v>183</v>
      </c>
      <c r="CX33" s="117">
        <v>6.03</v>
      </c>
      <c r="CY33" s="117" t="s">
        <v>206</v>
      </c>
      <c r="CZ33" s="117" t="s">
        <v>55</v>
      </c>
      <c r="DA33" s="117" t="s">
        <v>54</v>
      </c>
      <c r="DB33" s="141" t="str">
        <f t="shared" si="3"/>
        <v>Agosto</v>
      </c>
      <c r="DC33" s="141">
        <f t="shared" si="4"/>
        <v>2019</v>
      </c>
      <c r="DD33" s="142" t="str">
        <f t="shared" si="5"/>
        <v>COD012 Estação 12</v>
      </c>
      <c r="DL33" s="78"/>
      <c r="DM33" s="78"/>
      <c r="DN33" s="78"/>
      <c r="DO33" s="78"/>
      <c r="DP33" s="78"/>
      <c r="DQ33" s="78"/>
    </row>
    <row r="34" spans="1:121" ht="15" customHeight="1" x14ac:dyDescent="0.25">
      <c r="A34" s="78">
        <v>26190911</v>
      </c>
      <c r="B34" s="11" t="s">
        <v>332</v>
      </c>
      <c r="C34" s="12" t="s">
        <v>351</v>
      </c>
      <c r="D34" s="12" t="s">
        <v>319</v>
      </c>
      <c r="E34" s="12" t="s">
        <v>314</v>
      </c>
      <c r="F34" s="118">
        <v>43719</v>
      </c>
      <c r="G34" s="119">
        <v>0.41666666666666669</v>
      </c>
      <c r="H34" s="119"/>
      <c r="I34" s="117">
        <v>28.1</v>
      </c>
      <c r="J34" s="117">
        <v>28.34</v>
      </c>
      <c r="K34" s="117">
        <v>0.85409252669037539</v>
      </c>
      <c r="L34" s="117">
        <v>10</v>
      </c>
      <c r="M34" s="117"/>
      <c r="N34" s="117"/>
      <c r="O34" s="117">
        <v>27.89</v>
      </c>
      <c r="P34" s="117"/>
      <c r="Q34" s="117"/>
      <c r="R34" s="117">
        <v>10.02</v>
      </c>
      <c r="S34" s="117"/>
      <c r="T34" s="117"/>
      <c r="U34" s="117"/>
      <c r="V34" s="117"/>
      <c r="W34" s="117"/>
      <c r="X34" s="117"/>
      <c r="Y34" s="117"/>
      <c r="Z34" s="117"/>
      <c r="AA34" s="117">
        <v>0.20000000000000018</v>
      </c>
      <c r="AB34" s="117" t="s">
        <v>183</v>
      </c>
      <c r="AC34" s="117" t="s">
        <v>183</v>
      </c>
      <c r="AD34" s="117">
        <v>147</v>
      </c>
      <c r="AE34" s="117">
        <v>147.1</v>
      </c>
      <c r="AF34" s="117">
        <v>5.13</v>
      </c>
      <c r="AG34" s="117">
        <v>0.2</v>
      </c>
      <c r="AH34" s="117">
        <v>6.8027210884347156E-2</v>
      </c>
      <c r="AI34" s="117">
        <v>34.18</v>
      </c>
      <c r="AJ34" s="117">
        <v>718.7</v>
      </c>
      <c r="AK34" s="117">
        <v>6.6397506457588271</v>
      </c>
      <c r="AL34" s="117">
        <v>94.56578947368422</v>
      </c>
      <c r="AM34" s="117">
        <v>6.65</v>
      </c>
      <c r="AN34" s="117">
        <v>94.5</v>
      </c>
      <c r="AO34" s="117">
        <v>0.15436354146400877</v>
      </c>
      <c r="AP34" s="118">
        <v>43718</v>
      </c>
      <c r="AQ34" s="118"/>
      <c r="AR34" s="117">
        <v>108</v>
      </c>
      <c r="AS34" s="117">
        <v>108</v>
      </c>
      <c r="AT34" s="117">
        <v>102.99</v>
      </c>
      <c r="AU34" s="117"/>
      <c r="AV34" s="117">
        <v>4.6388888888888928</v>
      </c>
      <c r="AW34" s="117" t="s">
        <v>183</v>
      </c>
      <c r="AX34" s="117">
        <v>2</v>
      </c>
      <c r="AY34" s="117" t="s">
        <v>44</v>
      </c>
      <c r="AZ34" s="117">
        <v>2</v>
      </c>
      <c r="BA34" s="117">
        <v>2</v>
      </c>
      <c r="BB34" s="117">
        <v>2</v>
      </c>
      <c r="BC34" s="117">
        <v>2</v>
      </c>
      <c r="BD34" s="117">
        <v>2</v>
      </c>
      <c r="BE34" s="117">
        <v>2</v>
      </c>
      <c r="BF34" s="117">
        <v>2</v>
      </c>
      <c r="BG34" s="117">
        <v>2</v>
      </c>
      <c r="BH34" s="117">
        <v>2</v>
      </c>
      <c r="BI34" s="117">
        <v>2</v>
      </c>
      <c r="BJ34" s="117">
        <v>1</v>
      </c>
      <c r="BK34" s="117">
        <v>2</v>
      </c>
      <c r="BL34" s="117">
        <v>2</v>
      </c>
      <c r="BM34" s="117"/>
      <c r="BN34" s="117"/>
      <c r="BO34" s="117"/>
      <c r="BP34" s="117"/>
      <c r="BQ34" s="117"/>
      <c r="BR34" s="117"/>
      <c r="BS34" s="117"/>
      <c r="BT34" s="117"/>
      <c r="BU34" s="117"/>
      <c r="BV34" s="117"/>
      <c r="BW34" s="117"/>
      <c r="BX34" s="117"/>
      <c r="BY34" s="117"/>
      <c r="BZ34" s="117"/>
      <c r="CA34" s="118">
        <v>43740</v>
      </c>
      <c r="CB34" s="119"/>
      <c r="CC34" s="118" t="s">
        <v>51</v>
      </c>
      <c r="CD34" s="117" t="s">
        <v>44</v>
      </c>
      <c r="CE34" s="117">
        <v>24.06</v>
      </c>
      <c r="CF34" s="117"/>
      <c r="CG34" s="117" t="s">
        <v>183</v>
      </c>
      <c r="CH34" s="117">
        <v>3.84</v>
      </c>
      <c r="CI34" s="117"/>
      <c r="CJ34" s="117" t="s">
        <v>183</v>
      </c>
      <c r="CK34" s="117">
        <v>5.81</v>
      </c>
      <c r="CL34" s="117"/>
      <c r="CM34" s="117" t="s">
        <v>183</v>
      </c>
      <c r="CN34" s="117">
        <v>76.900000000000006</v>
      </c>
      <c r="CO34" s="117"/>
      <c r="CP34" s="117" t="s">
        <v>183</v>
      </c>
      <c r="CQ34" s="117">
        <v>13.6</v>
      </c>
      <c r="CR34" s="117"/>
      <c r="CS34" s="117" t="s">
        <v>183</v>
      </c>
      <c r="CT34" s="117"/>
      <c r="CU34" s="117"/>
      <c r="CV34" s="117"/>
      <c r="CW34" s="117" t="s">
        <v>183</v>
      </c>
      <c r="CX34" s="117"/>
      <c r="CY34" s="117" t="s">
        <v>207</v>
      </c>
      <c r="CZ34" s="117" t="s">
        <v>56</v>
      </c>
      <c r="DA34" s="117" t="s">
        <v>57</v>
      </c>
      <c r="DB34" s="141" t="str">
        <f t="shared" si="3"/>
        <v>Setembro</v>
      </c>
      <c r="DC34" s="141">
        <f t="shared" si="4"/>
        <v>2019</v>
      </c>
      <c r="DD34" s="142" t="str">
        <f t="shared" si="5"/>
        <v>COD013 Estação 13</v>
      </c>
      <c r="DL34" s="78"/>
      <c r="DM34" s="78"/>
      <c r="DN34" s="78"/>
      <c r="DO34" s="78"/>
      <c r="DP34" s="78"/>
      <c r="DQ34" s="78"/>
    </row>
    <row r="35" spans="1:121" ht="15" customHeight="1" x14ac:dyDescent="0.25">
      <c r="A35" s="78">
        <v>26191002</v>
      </c>
      <c r="B35" s="11" t="s">
        <v>333</v>
      </c>
      <c r="C35" s="12" t="s">
        <v>352</v>
      </c>
      <c r="D35" s="12" t="s">
        <v>314</v>
      </c>
      <c r="E35" s="12" t="s">
        <v>315</v>
      </c>
      <c r="F35" s="118">
        <v>43740</v>
      </c>
      <c r="G35" s="119">
        <v>0.65972222222222221</v>
      </c>
      <c r="H35" s="119"/>
      <c r="I35" s="117"/>
      <c r="J35" s="117"/>
      <c r="K35" s="117" t="s">
        <v>183</v>
      </c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 t="s">
        <v>183</v>
      </c>
      <c r="AB35" s="117" t="s">
        <v>183</v>
      </c>
      <c r="AC35" s="117" t="s">
        <v>183</v>
      </c>
      <c r="AD35" s="117"/>
      <c r="AE35" s="117"/>
      <c r="AF35" s="117"/>
      <c r="AG35" s="117"/>
      <c r="AH35" s="117" t="s">
        <v>183</v>
      </c>
      <c r="AI35" s="117"/>
      <c r="AJ35" s="117"/>
      <c r="AK35" s="117" t="s">
        <v>42</v>
      </c>
      <c r="AL35" s="117" t="s">
        <v>42</v>
      </c>
      <c r="AM35" s="117"/>
      <c r="AN35" s="117"/>
      <c r="AO35" s="117" t="s">
        <v>183</v>
      </c>
      <c r="AP35" s="118"/>
      <c r="AQ35" s="118"/>
      <c r="AR35" s="117"/>
      <c r="AS35" s="117"/>
      <c r="AT35" s="117"/>
      <c r="AU35" s="117"/>
      <c r="AV35" s="117" t="s">
        <v>183</v>
      </c>
      <c r="AW35" s="117" t="s">
        <v>183</v>
      </c>
      <c r="AX35" s="117">
        <v>2</v>
      </c>
      <c r="AY35" s="117" t="s">
        <v>44</v>
      </c>
      <c r="AZ35" s="117">
        <v>2</v>
      </c>
      <c r="BA35" s="117">
        <v>2</v>
      </c>
      <c r="BB35" s="117">
        <v>2</v>
      </c>
      <c r="BC35" s="117">
        <v>2</v>
      </c>
      <c r="BD35" s="117">
        <v>2</v>
      </c>
      <c r="BE35" s="117">
        <v>2</v>
      </c>
      <c r="BF35" s="117">
        <v>2</v>
      </c>
      <c r="BG35" s="117">
        <v>2</v>
      </c>
      <c r="BH35" s="117">
        <v>2</v>
      </c>
      <c r="BI35" s="117">
        <v>2</v>
      </c>
      <c r="BJ35" s="117">
        <v>2</v>
      </c>
      <c r="BK35" s="117">
        <v>2</v>
      </c>
      <c r="BL35" s="117">
        <v>2</v>
      </c>
      <c r="BM35" s="117"/>
      <c r="BN35" s="117"/>
      <c r="BO35" s="117"/>
      <c r="BP35" s="117"/>
      <c r="BQ35" s="117"/>
      <c r="BR35" s="117"/>
      <c r="BS35" s="117"/>
      <c r="BT35" s="117"/>
      <c r="BU35" s="117"/>
      <c r="BV35" s="117"/>
      <c r="BW35" s="117"/>
      <c r="BX35" s="117"/>
      <c r="BY35" s="117"/>
      <c r="BZ35" s="117"/>
      <c r="CA35" s="118">
        <v>43754</v>
      </c>
      <c r="CB35" s="119">
        <v>0.4375</v>
      </c>
      <c r="CC35" s="118" t="s">
        <v>51</v>
      </c>
      <c r="CD35" s="117" t="s">
        <v>47</v>
      </c>
      <c r="CE35" s="117">
        <v>26.39</v>
      </c>
      <c r="CF35" s="117">
        <v>26.49</v>
      </c>
      <c r="CG35" s="117">
        <v>0.37893141341416303</v>
      </c>
      <c r="CH35" s="117">
        <v>6.79</v>
      </c>
      <c r="CI35" s="117">
        <v>6.79</v>
      </c>
      <c r="CJ35" s="117">
        <v>0</v>
      </c>
      <c r="CK35" s="117">
        <v>5.12</v>
      </c>
      <c r="CL35" s="117">
        <v>5.08</v>
      </c>
      <c r="CM35" s="117">
        <v>0.78125</v>
      </c>
      <c r="CN35" s="117">
        <v>76.8</v>
      </c>
      <c r="CO35" s="117">
        <v>74.099999999999994</v>
      </c>
      <c r="CP35" s="117">
        <v>3.515625</v>
      </c>
      <c r="CQ35" s="117">
        <v>11.8</v>
      </c>
      <c r="CR35" s="117">
        <v>12.16</v>
      </c>
      <c r="CS35" s="117">
        <v>3.050847457627115</v>
      </c>
      <c r="CT35" s="117"/>
      <c r="CU35" s="117"/>
      <c r="CV35" s="117"/>
      <c r="CW35" s="117" t="s">
        <v>183</v>
      </c>
      <c r="CX35" s="117">
        <v>6.37</v>
      </c>
      <c r="CY35" s="117" t="s">
        <v>208</v>
      </c>
      <c r="CZ35" s="117" t="s">
        <v>56</v>
      </c>
      <c r="DA35" s="117" t="s">
        <v>55</v>
      </c>
      <c r="DB35" s="141" t="str">
        <f t="shared" si="3"/>
        <v>Setembro</v>
      </c>
      <c r="DC35" s="141">
        <f t="shared" si="4"/>
        <v>2019</v>
      </c>
      <c r="DD35" s="142" t="str">
        <f t="shared" si="5"/>
        <v>COD014 Estação 14</v>
      </c>
      <c r="DL35" s="78"/>
      <c r="DM35" s="78"/>
      <c r="DN35" s="78"/>
      <c r="DO35" s="78"/>
      <c r="DP35" s="78"/>
      <c r="DQ35" s="78"/>
    </row>
    <row r="36" spans="1:121" ht="15" customHeight="1" x14ac:dyDescent="0.25">
      <c r="A36" s="78">
        <v>26191016</v>
      </c>
      <c r="B36" s="11" t="s">
        <v>334</v>
      </c>
      <c r="C36" s="12" t="s">
        <v>353</v>
      </c>
      <c r="D36" s="12" t="s">
        <v>315</v>
      </c>
      <c r="E36" s="12" t="s">
        <v>316</v>
      </c>
      <c r="F36" s="79">
        <v>43754</v>
      </c>
      <c r="G36" s="80">
        <v>0.42708333333333331</v>
      </c>
      <c r="H36" s="80">
        <v>0.45833333333333331</v>
      </c>
      <c r="I36" s="67">
        <v>27.8</v>
      </c>
      <c r="J36" s="67">
        <v>27.5</v>
      </c>
      <c r="K36" s="67">
        <v>1.0791366906474864</v>
      </c>
      <c r="L36" s="67">
        <v>7</v>
      </c>
      <c r="O36" s="67">
        <v>27.6</v>
      </c>
      <c r="R36" s="67">
        <v>7.28</v>
      </c>
      <c r="U36" s="67">
        <v>-14.5</v>
      </c>
      <c r="AA36" s="67">
        <v>4.0000000000000036</v>
      </c>
      <c r="AB36" s="67" t="s">
        <v>183</v>
      </c>
      <c r="AC36" s="67" t="s">
        <v>183</v>
      </c>
      <c r="AD36" s="67">
        <v>147</v>
      </c>
      <c r="AE36" s="67">
        <v>147.1</v>
      </c>
      <c r="AF36" s="67">
        <v>0.47</v>
      </c>
      <c r="AH36" s="67">
        <v>6.8027210884347156E-2</v>
      </c>
      <c r="AI36" s="67">
        <v>27.5</v>
      </c>
      <c r="AJ36" s="67">
        <v>721.2</v>
      </c>
      <c r="AK36" s="67">
        <v>7.479481534622157</v>
      </c>
      <c r="AL36" s="67">
        <v>94.894736842105274</v>
      </c>
      <c r="AM36" s="67">
        <v>7.54</v>
      </c>
      <c r="AN36" s="67">
        <v>95.6</v>
      </c>
      <c r="AO36" s="67">
        <v>0.80912647618296418</v>
      </c>
      <c r="AP36" s="79">
        <v>43752</v>
      </c>
      <c r="AR36" s="67">
        <v>102</v>
      </c>
      <c r="AV36" s="67" t="s">
        <v>183</v>
      </c>
      <c r="AW36" s="67" t="s">
        <v>183</v>
      </c>
      <c r="AX36" s="67">
        <v>2</v>
      </c>
      <c r="AY36" s="67" t="s">
        <v>47</v>
      </c>
      <c r="AZ36" s="67">
        <v>2</v>
      </c>
      <c r="BA36" s="67">
        <v>2</v>
      </c>
      <c r="BB36" s="67">
        <v>1</v>
      </c>
      <c r="BC36" s="67">
        <v>2</v>
      </c>
      <c r="BD36" s="67">
        <v>2</v>
      </c>
      <c r="BE36" s="67">
        <v>2</v>
      </c>
      <c r="BF36" s="67">
        <v>2</v>
      </c>
      <c r="BG36" s="67">
        <v>2</v>
      </c>
      <c r="BH36" s="67">
        <v>2</v>
      </c>
      <c r="BI36" s="67">
        <v>1</v>
      </c>
      <c r="BJ36" s="67">
        <v>1</v>
      </c>
      <c r="BK36" s="67">
        <v>2</v>
      </c>
      <c r="BL36" s="67">
        <v>2</v>
      </c>
      <c r="BQ36" s="67" t="s">
        <v>209</v>
      </c>
      <c r="BR36" s="67" t="s">
        <v>210</v>
      </c>
      <c r="BZ36" s="67" t="s">
        <v>211</v>
      </c>
      <c r="CA36" s="79">
        <v>43767</v>
      </c>
      <c r="CC36" s="79" t="s">
        <v>51</v>
      </c>
      <c r="CD36" s="67" t="s">
        <v>47</v>
      </c>
      <c r="CE36" s="67">
        <v>26.53</v>
      </c>
      <c r="CF36" s="67">
        <v>26.59</v>
      </c>
      <c r="CG36" s="67">
        <v>0.22615906520919715</v>
      </c>
      <c r="CH36" s="67">
        <v>6.72</v>
      </c>
      <c r="CI36" s="67">
        <v>6.69</v>
      </c>
      <c r="CJ36" s="67">
        <v>0.44642857142855874</v>
      </c>
      <c r="CK36" s="67">
        <v>4.79</v>
      </c>
      <c r="CL36" s="67">
        <v>4.41</v>
      </c>
      <c r="CM36" s="67">
        <v>7.9331941544885209</v>
      </c>
      <c r="CN36" s="67">
        <v>82.04</v>
      </c>
      <c r="CO36" s="67">
        <v>79.7</v>
      </c>
      <c r="CP36" s="67">
        <v>2.8522671867381777</v>
      </c>
      <c r="CQ36" s="67">
        <v>15.03</v>
      </c>
      <c r="CR36" s="67">
        <v>15.16</v>
      </c>
      <c r="CS36" s="67">
        <v>0.86493679308050631</v>
      </c>
      <c r="CW36" s="67" t="s">
        <v>183</v>
      </c>
      <c r="CX36" s="67">
        <v>5.99</v>
      </c>
      <c r="CZ36" s="67" t="s">
        <v>54</v>
      </c>
      <c r="DA36" s="67" t="s">
        <v>55</v>
      </c>
      <c r="DB36" s="141" t="str">
        <f t="shared" si="3"/>
        <v>Setembro</v>
      </c>
      <c r="DC36" s="141">
        <f t="shared" si="4"/>
        <v>2019</v>
      </c>
      <c r="DD36" s="142" t="str">
        <f t="shared" si="5"/>
        <v>COD015 Estação 15</v>
      </c>
      <c r="DL36" s="78"/>
      <c r="DM36" s="78"/>
      <c r="DN36" s="78"/>
      <c r="DO36" s="78"/>
      <c r="DP36" s="78"/>
      <c r="DQ36" s="78"/>
    </row>
    <row r="37" spans="1:121" ht="15" customHeight="1" x14ac:dyDescent="0.25">
      <c r="A37" s="78">
        <v>26191029</v>
      </c>
      <c r="B37" s="11" t="s">
        <v>335</v>
      </c>
      <c r="C37" s="12" t="s">
        <v>354</v>
      </c>
      <c r="D37" s="12" t="s">
        <v>316</v>
      </c>
      <c r="E37" s="12" t="s">
        <v>317</v>
      </c>
      <c r="F37" s="79">
        <v>43767</v>
      </c>
      <c r="G37" s="80">
        <v>0.63541666666666663</v>
      </c>
      <c r="I37" s="67">
        <v>28</v>
      </c>
      <c r="J37" s="67">
        <v>27.86</v>
      </c>
      <c r="K37" s="67">
        <v>0.50000000000000044</v>
      </c>
      <c r="L37" s="67">
        <v>4</v>
      </c>
      <c r="O37" s="67">
        <v>27.85</v>
      </c>
      <c r="R37" s="67">
        <v>4.03</v>
      </c>
      <c r="U37" s="67">
        <v>174.1</v>
      </c>
      <c r="AA37" s="67">
        <v>0.75000000000000622</v>
      </c>
      <c r="AB37" s="67" t="s">
        <v>183</v>
      </c>
      <c r="AC37" s="67" t="s">
        <v>183</v>
      </c>
      <c r="AD37" s="67">
        <v>147</v>
      </c>
      <c r="AE37" s="67">
        <v>147.19999999999999</v>
      </c>
      <c r="AG37" s="67">
        <v>0</v>
      </c>
      <c r="AH37" s="67">
        <v>0.13605442176869431</v>
      </c>
      <c r="AI37" s="67">
        <v>26.49</v>
      </c>
      <c r="AJ37" s="67">
        <v>715.2</v>
      </c>
      <c r="AK37" s="67">
        <v>7.5514107444571561</v>
      </c>
      <c r="AL37" s="67">
        <v>94.105263157894754</v>
      </c>
      <c r="AM37" s="67">
        <v>7.56</v>
      </c>
      <c r="AO37" s="67">
        <v>0.11374372065706684</v>
      </c>
      <c r="AP37" s="79">
        <v>43767</v>
      </c>
      <c r="AR37" s="67">
        <v>100.4</v>
      </c>
      <c r="AT37" s="67">
        <v>103.7</v>
      </c>
      <c r="AV37" s="67">
        <v>3.2868525896414313</v>
      </c>
      <c r="AW37" s="67" t="s">
        <v>183</v>
      </c>
      <c r="AX37" s="67">
        <v>2</v>
      </c>
      <c r="AY37" s="67" t="s">
        <v>47</v>
      </c>
      <c r="AZ37" s="67">
        <v>2</v>
      </c>
      <c r="BA37" s="67">
        <v>2</v>
      </c>
      <c r="BB37" s="67">
        <v>2</v>
      </c>
      <c r="BC37" s="67">
        <v>2</v>
      </c>
      <c r="BD37" s="67">
        <v>2</v>
      </c>
      <c r="BE37" s="67">
        <v>2</v>
      </c>
      <c r="BF37" s="67">
        <v>2</v>
      </c>
      <c r="BG37" s="67">
        <v>2</v>
      </c>
      <c r="BH37" s="67">
        <v>2</v>
      </c>
      <c r="BI37" s="67">
        <v>2</v>
      </c>
      <c r="BJ37" s="67">
        <v>2</v>
      </c>
      <c r="BK37" s="67">
        <v>2</v>
      </c>
      <c r="BL37" s="67">
        <v>2</v>
      </c>
      <c r="CA37" s="79">
        <v>43780</v>
      </c>
      <c r="CC37" s="79" t="s">
        <v>51</v>
      </c>
      <c r="CD37" s="67" t="s">
        <v>47</v>
      </c>
      <c r="CE37" s="67">
        <v>25.24</v>
      </c>
      <c r="CF37" s="67">
        <v>25.29</v>
      </c>
      <c r="CG37" s="67">
        <v>0.1980982567353351</v>
      </c>
      <c r="CH37" s="67">
        <v>6.8</v>
      </c>
      <c r="CI37" s="67">
        <v>6.83</v>
      </c>
      <c r="CJ37" s="67">
        <v>0.44117647058823373</v>
      </c>
      <c r="CK37" s="67">
        <v>5.18</v>
      </c>
      <c r="CL37" s="67">
        <v>4.83</v>
      </c>
      <c r="CM37" s="67">
        <v>6.7567567567567544</v>
      </c>
      <c r="CN37" s="67">
        <v>80.7</v>
      </c>
      <c r="CO37" s="67">
        <v>80.8</v>
      </c>
      <c r="CP37" s="67">
        <v>0.12391573729861882</v>
      </c>
      <c r="CQ37" s="67">
        <v>12.15</v>
      </c>
      <c r="CR37" s="67">
        <v>12.09</v>
      </c>
      <c r="CS37" s="67">
        <v>0.49382716049383157</v>
      </c>
      <c r="CW37" s="67" t="s">
        <v>183</v>
      </c>
      <c r="CX37" s="67">
        <v>6.23</v>
      </c>
      <c r="CZ37" s="67" t="s">
        <v>54</v>
      </c>
      <c r="DA37" s="67" t="s">
        <v>56</v>
      </c>
      <c r="DB37" s="141" t="str">
        <f t="shared" si="3"/>
        <v>Setembro</v>
      </c>
      <c r="DC37" s="141">
        <f t="shared" si="4"/>
        <v>2019</v>
      </c>
      <c r="DD37" s="142" t="str">
        <f t="shared" si="5"/>
        <v>COD016 Estação 16</v>
      </c>
    </row>
    <row r="38" spans="1:121" ht="15" customHeight="1" x14ac:dyDescent="0.25">
      <c r="A38" s="78">
        <v>26191111</v>
      </c>
      <c r="B38" s="11" t="s">
        <v>336</v>
      </c>
      <c r="C38" s="12" t="s">
        <v>355</v>
      </c>
      <c r="D38" s="12" t="s">
        <v>317</v>
      </c>
      <c r="E38" s="12" t="s">
        <v>318</v>
      </c>
      <c r="F38" s="79">
        <v>43780</v>
      </c>
      <c r="G38" s="80">
        <v>0.67708333333333337</v>
      </c>
      <c r="H38" s="80">
        <v>0.69861111111111107</v>
      </c>
      <c r="I38" s="67">
        <v>25.3</v>
      </c>
      <c r="J38" s="67">
        <v>24.9</v>
      </c>
      <c r="K38" s="67">
        <v>1.5810276679842028</v>
      </c>
      <c r="L38" s="67">
        <v>7</v>
      </c>
      <c r="O38" s="67">
        <v>24.9</v>
      </c>
      <c r="R38" s="67">
        <v>7.19</v>
      </c>
      <c r="AA38" s="67">
        <v>2.7142857142857135</v>
      </c>
      <c r="AB38" s="67" t="s">
        <v>183</v>
      </c>
      <c r="AC38" s="67" t="s">
        <v>183</v>
      </c>
      <c r="AD38" s="67">
        <v>147</v>
      </c>
      <c r="AE38" s="67">
        <v>147.1</v>
      </c>
      <c r="AG38" s="67">
        <v>0</v>
      </c>
      <c r="AH38" s="67">
        <v>6.8027210884347156E-2</v>
      </c>
      <c r="AI38" s="67">
        <v>25</v>
      </c>
      <c r="AJ38" s="67">
        <v>718.7</v>
      </c>
      <c r="AK38" s="67">
        <v>7.8001912000956901</v>
      </c>
      <c r="AL38" s="67">
        <v>94.56578947368422</v>
      </c>
      <c r="AO38" s="67" t="s">
        <v>183</v>
      </c>
      <c r="AP38" s="79">
        <v>43780</v>
      </c>
      <c r="AR38" s="67">
        <v>112</v>
      </c>
      <c r="AT38" s="67">
        <v>110.09</v>
      </c>
      <c r="AV38" s="67">
        <v>1.7053571428571446</v>
      </c>
      <c r="AW38" s="67" t="s">
        <v>183</v>
      </c>
      <c r="AX38" s="67">
        <v>2</v>
      </c>
      <c r="AY38" s="67" t="s">
        <v>47</v>
      </c>
      <c r="AZ38" s="67">
        <v>2</v>
      </c>
      <c r="BA38" s="67">
        <v>2</v>
      </c>
      <c r="BB38" s="67">
        <v>2</v>
      </c>
      <c r="BC38" s="67">
        <v>2</v>
      </c>
      <c r="BD38" s="67">
        <v>2</v>
      </c>
      <c r="BE38" s="67">
        <v>2</v>
      </c>
      <c r="BF38" s="67">
        <v>2</v>
      </c>
      <c r="BG38" s="67">
        <v>2</v>
      </c>
      <c r="BH38" s="67">
        <v>2</v>
      </c>
      <c r="BI38" s="67">
        <v>2</v>
      </c>
      <c r="BJ38" s="67">
        <v>2</v>
      </c>
      <c r="BK38" s="67">
        <v>2</v>
      </c>
      <c r="BL38" s="67">
        <v>2</v>
      </c>
      <c r="CA38" s="79">
        <v>43802</v>
      </c>
      <c r="CB38" s="80">
        <v>0.67361111111111116</v>
      </c>
      <c r="CC38" s="79" t="s">
        <v>51</v>
      </c>
      <c r="CD38" s="67" t="s">
        <v>47</v>
      </c>
      <c r="CE38" s="67">
        <v>24.76</v>
      </c>
      <c r="CF38" s="67">
        <v>24.81</v>
      </c>
      <c r="CG38" s="67">
        <v>0.20193861066235552</v>
      </c>
      <c r="CH38" s="67">
        <v>6.56</v>
      </c>
      <c r="CI38" s="67">
        <v>6.69</v>
      </c>
      <c r="CJ38" s="67">
        <v>1.9817073170731891</v>
      </c>
      <c r="CK38" s="67">
        <v>4.67</v>
      </c>
      <c r="CL38" s="67">
        <v>4.54</v>
      </c>
      <c r="CM38" s="67">
        <v>2.7837259100642386</v>
      </c>
      <c r="CN38" s="67">
        <v>77.3</v>
      </c>
      <c r="CO38" s="67">
        <v>76.599999999999994</v>
      </c>
      <c r="CP38" s="67">
        <v>0.90556274256144986</v>
      </c>
      <c r="CQ38" s="67">
        <v>47.5</v>
      </c>
      <c r="CR38" s="67">
        <v>52.24</v>
      </c>
      <c r="CS38" s="67">
        <v>9.9789473684210641</v>
      </c>
      <c r="CT38" s="67" t="s">
        <v>213</v>
      </c>
      <c r="CU38" s="67">
        <v>2.3199999999999998</v>
      </c>
      <c r="CW38" s="67" t="s">
        <v>183</v>
      </c>
      <c r="CX38" s="67">
        <v>6.32</v>
      </c>
      <c r="CZ38" s="67" t="s">
        <v>54</v>
      </c>
      <c r="DA38" s="67" t="s">
        <v>55</v>
      </c>
      <c r="DB38" s="141" t="str">
        <f t="shared" si="3"/>
        <v>Setembro</v>
      </c>
      <c r="DC38" s="141">
        <f t="shared" si="4"/>
        <v>2019</v>
      </c>
      <c r="DD38" s="142" t="str">
        <f t="shared" si="5"/>
        <v>COD017 Estação 17</v>
      </c>
    </row>
    <row r="39" spans="1:121" ht="15" customHeight="1" x14ac:dyDescent="0.25">
      <c r="A39" s="78">
        <v>26191203</v>
      </c>
      <c r="B39" s="11" t="s">
        <v>337</v>
      </c>
      <c r="C39" s="12" t="s">
        <v>356</v>
      </c>
      <c r="D39" s="12" t="s">
        <v>318</v>
      </c>
      <c r="E39" s="12" t="s">
        <v>55</v>
      </c>
      <c r="F39" s="79">
        <v>43802</v>
      </c>
      <c r="G39" s="80">
        <v>0.65972222222222221</v>
      </c>
      <c r="H39" s="80">
        <v>0.69097222222222221</v>
      </c>
      <c r="I39" s="67">
        <v>23.9</v>
      </c>
      <c r="J39" s="67">
        <v>23.9</v>
      </c>
      <c r="K39" s="67">
        <v>0</v>
      </c>
      <c r="L39" s="67">
        <v>10</v>
      </c>
      <c r="O39" s="67">
        <v>23.7</v>
      </c>
      <c r="R39" s="67">
        <v>10.199999999999999</v>
      </c>
      <c r="U39" s="67">
        <v>-182</v>
      </c>
      <c r="AA39" s="67">
        <v>2.0000000000000018</v>
      </c>
      <c r="AB39" s="67" t="s">
        <v>183</v>
      </c>
      <c r="AC39" s="67" t="s">
        <v>183</v>
      </c>
      <c r="AD39" s="67">
        <v>147</v>
      </c>
      <c r="AE39" s="67">
        <v>144.19999999999999</v>
      </c>
      <c r="AG39" s="67">
        <v>0.2</v>
      </c>
      <c r="AH39" s="67">
        <v>1.9047619047619091</v>
      </c>
      <c r="AI39" s="67">
        <v>21.9</v>
      </c>
      <c r="AJ39" s="67">
        <v>717.1</v>
      </c>
      <c r="AK39" s="67">
        <v>8.2532221396414212</v>
      </c>
      <c r="AL39" s="67">
        <v>94.35526315789474</v>
      </c>
      <c r="AM39" s="67">
        <v>8.33</v>
      </c>
      <c r="AN39" s="67">
        <v>95.3</v>
      </c>
      <c r="AO39" s="67">
        <v>0.93027740026290218</v>
      </c>
      <c r="AP39" s="79">
        <v>43802</v>
      </c>
      <c r="AR39" s="67">
        <v>111</v>
      </c>
      <c r="AT39" s="67">
        <v>107.2</v>
      </c>
      <c r="AV39" s="67">
        <v>3.4234234234234218</v>
      </c>
      <c r="AW39" s="67" t="s">
        <v>183</v>
      </c>
      <c r="AX39" s="67">
        <v>2</v>
      </c>
      <c r="AY39" s="67" t="s">
        <v>47</v>
      </c>
      <c r="AZ39" s="67">
        <v>2</v>
      </c>
      <c r="BA39" s="67">
        <v>2</v>
      </c>
      <c r="BB39" s="67">
        <v>2</v>
      </c>
      <c r="BC39" s="67">
        <v>2</v>
      </c>
      <c r="BD39" s="67">
        <v>2</v>
      </c>
      <c r="BE39" s="67">
        <v>2</v>
      </c>
      <c r="BF39" s="67">
        <v>2</v>
      </c>
      <c r="BG39" s="67">
        <v>2</v>
      </c>
      <c r="BH39" s="67">
        <v>2</v>
      </c>
      <c r="BI39" s="67">
        <v>2</v>
      </c>
      <c r="BJ39" s="67">
        <v>2</v>
      </c>
      <c r="BK39" s="67">
        <v>2</v>
      </c>
      <c r="BL39" s="67">
        <v>2</v>
      </c>
      <c r="BZ39" s="67" t="s">
        <v>214</v>
      </c>
      <c r="CC39" s="79"/>
      <c r="DB39" s="141" t="str">
        <f t="shared" si="3"/>
        <v>Setembro</v>
      </c>
      <c r="DC39" s="141">
        <f t="shared" si="4"/>
        <v>2019</v>
      </c>
      <c r="DD39" s="142" t="str">
        <f t="shared" si="5"/>
        <v>COD018 Estação 18</v>
      </c>
    </row>
    <row r="40" spans="1:121" ht="15" customHeight="1" x14ac:dyDescent="0.25">
      <c r="A40" s="78">
        <v>25200219</v>
      </c>
      <c r="B40" s="11" t="s">
        <v>338</v>
      </c>
      <c r="C40" s="12" t="s">
        <v>357</v>
      </c>
      <c r="D40" s="12" t="s">
        <v>55</v>
      </c>
      <c r="E40" s="12" t="s">
        <v>54</v>
      </c>
      <c r="F40" s="79">
        <v>43880</v>
      </c>
      <c r="G40" s="80">
        <v>0.44791666666666669</v>
      </c>
      <c r="I40" s="67">
        <v>26.5</v>
      </c>
      <c r="J40" s="67">
        <v>26.69</v>
      </c>
      <c r="K40" s="67">
        <v>0.7169811320754782</v>
      </c>
      <c r="L40" s="67">
        <v>4</v>
      </c>
      <c r="O40" s="67">
        <v>26.38</v>
      </c>
      <c r="R40" s="67">
        <v>3.99</v>
      </c>
      <c r="U40" s="67">
        <v>162.9</v>
      </c>
      <c r="AA40" s="67">
        <v>0.24999999999999467</v>
      </c>
      <c r="AB40" s="67" t="s">
        <v>183</v>
      </c>
      <c r="AC40" s="67" t="s">
        <v>183</v>
      </c>
      <c r="AD40" s="67">
        <v>1410</v>
      </c>
      <c r="AE40" s="67">
        <v>1389.9</v>
      </c>
      <c r="AG40" s="67">
        <v>0.5</v>
      </c>
      <c r="AH40" s="67">
        <v>1.4255319148936074</v>
      </c>
      <c r="AI40" s="67">
        <v>27.47</v>
      </c>
      <c r="AJ40" s="67">
        <v>708.9</v>
      </c>
      <c r="AK40" s="67">
        <v>7.3508957605725405</v>
      </c>
      <c r="AL40" s="67">
        <v>93.276315789473685</v>
      </c>
      <c r="AM40" s="67">
        <v>7.22</v>
      </c>
      <c r="AN40" s="67">
        <v>91.5</v>
      </c>
      <c r="AO40" s="67">
        <v>1.780677686583676</v>
      </c>
      <c r="AP40" s="79">
        <v>43880</v>
      </c>
      <c r="AR40" s="67">
        <v>99.5</v>
      </c>
      <c r="AT40" s="67">
        <v>106.4</v>
      </c>
      <c r="AV40" s="67">
        <v>6.9346733668341765</v>
      </c>
      <c r="AW40" s="67" t="s">
        <v>183</v>
      </c>
      <c r="AX40" s="67">
        <v>2</v>
      </c>
      <c r="AY40" s="67" t="s">
        <v>49</v>
      </c>
      <c r="AZ40" s="67">
        <v>2</v>
      </c>
      <c r="BA40" s="67">
        <v>2</v>
      </c>
      <c r="BB40" s="67">
        <v>2</v>
      </c>
      <c r="BC40" s="67">
        <v>2</v>
      </c>
      <c r="BD40" s="67">
        <v>2</v>
      </c>
      <c r="BE40" s="67">
        <v>2</v>
      </c>
      <c r="BF40" s="67">
        <v>1</v>
      </c>
      <c r="BG40" s="67">
        <v>2</v>
      </c>
      <c r="BH40" s="67">
        <v>2</v>
      </c>
      <c r="BI40" s="67">
        <v>2</v>
      </c>
      <c r="BJ40" s="67">
        <v>2</v>
      </c>
      <c r="BK40" s="67">
        <v>2</v>
      </c>
      <c r="BL40" s="67">
        <v>2</v>
      </c>
      <c r="CC40" s="79"/>
      <c r="DB40" s="141" t="str">
        <f t="shared" si="3"/>
        <v>Fevereiro</v>
      </c>
      <c r="DC40" s="141">
        <f t="shared" si="4"/>
        <v>2020</v>
      </c>
      <c r="DD40" s="142" t="str">
        <f t="shared" si="5"/>
        <v>COD019 Estação 19</v>
      </c>
    </row>
    <row r="41" spans="1:121" ht="15" customHeight="1" x14ac:dyDescent="0.25">
      <c r="A41" s="78">
        <v>26200219</v>
      </c>
      <c r="B41" s="11" t="s">
        <v>336</v>
      </c>
      <c r="C41" s="12" t="s">
        <v>355</v>
      </c>
      <c r="D41" s="12" t="s">
        <v>54</v>
      </c>
      <c r="E41" s="12" t="s">
        <v>319</v>
      </c>
      <c r="F41" s="79">
        <v>43880</v>
      </c>
      <c r="G41" s="80">
        <v>0.625</v>
      </c>
      <c r="I41" s="67">
        <v>30.5</v>
      </c>
      <c r="J41" s="67">
        <v>30.9</v>
      </c>
      <c r="K41" s="67">
        <v>1.3114754098360715</v>
      </c>
      <c r="L41" s="67">
        <v>10</v>
      </c>
      <c r="O41" s="67">
        <v>30.7</v>
      </c>
      <c r="R41" s="67">
        <v>10.34</v>
      </c>
      <c r="U41" s="67">
        <v>-165.9</v>
      </c>
      <c r="AA41" s="67">
        <v>3.400000000000003</v>
      </c>
      <c r="AB41" s="67" t="s">
        <v>183</v>
      </c>
      <c r="AC41" s="67" t="s">
        <v>183</v>
      </c>
      <c r="AD41" s="67">
        <v>1410</v>
      </c>
      <c r="AE41" s="67">
        <v>1409.8</v>
      </c>
      <c r="AF41" s="67">
        <v>5.07</v>
      </c>
      <c r="AG41" s="67">
        <v>0.2</v>
      </c>
      <c r="AH41" s="67">
        <v>1.4184397163119478E-2</v>
      </c>
      <c r="AI41" s="67">
        <v>29</v>
      </c>
      <c r="AJ41" s="67">
        <v>714.3</v>
      </c>
      <c r="AK41" s="67">
        <v>7.2100333189290993</v>
      </c>
      <c r="AL41" s="67">
        <v>93.98684210526315</v>
      </c>
      <c r="AM41" s="67">
        <v>7.21</v>
      </c>
      <c r="AN41" s="67">
        <v>94.1</v>
      </c>
      <c r="AO41" s="67">
        <v>4.6211893378611535E-4</v>
      </c>
      <c r="AP41" s="79">
        <v>43880</v>
      </c>
      <c r="AR41" s="67">
        <v>99.5</v>
      </c>
      <c r="AT41" s="67">
        <v>99.3</v>
      </c>
      <c r="AV41" s="67">
        <v>0.20100502512563345</v>
      </c>
      <c r="AW41" s="67" t="s">
        <v>183</v>
      </c>
      <c r="AX41" s="67">
        <v>1</v>
      </c>
      <c r="AY41" s="67" t="s">
        <v>43</v>
      </c>
      <c r="AZ41" s="67">
        <v>2</v>
      </c>
      <c r="BA41" s="67">
        <v>2</v>
      </c>
      <c r="BB41" s="67">
        <v>2</v>
      </c>
      <c r="BC41" s="67">
        <v>2</v>
      </c>
      <c r="BD41" s="67">
        <v>2</v>
      </c>
      <c r="BE41" s="67">
        <v>2</v>
      </c>
      <c r="BF41" s="67">
        <v>2</v>
      </c>
      <c r="BG41" s="67">
        <v>2</v>
      </c>
      <c r="BH41" s="67">
        <v>2</v>
      </c>
      <c r="BI41" s="67">
        <v>1</v>
      </c>
      <c r="BJ41" s="67">
        <v>1</v>
      </c>
      <c r="BK41" s="67">
        <v>2</v>
      </c>
      <c r="BL41" s="67">
        <v>2</v>
      </c>
      <c r="BZ41" s="67" t="s">
        <v>215</v>
      </c>
      <c r="CC41" s="79"/>
      <c r="DB41" s="141" t="str">
        <f t="shared" si="3"/>
        <v>Fevereiro</v>
      </c>
      <c r="DC41" s="141">
        <f t="shared" si="4"/>
        <v>2020</v>
      </c>
      <c r="DD41" s="142" t="str">
        <f t="shared" si="5"/>
        <v>COD017 Estação 17</v>
      </c>
    </row>
    <row r="42" spans="1:121" ht="15" customHeight="1" x14ac:dyDescent="0.25">
      <c r="A42" s="78">
        <v>29200131</v>
      </c>
      <c r="B42" s="11" t="s">
        <v>337</v>
      </c>
      <c r="C42" s="12" t="s">
        <v>356</v>
      </c>
      <c r="D42" s="12" t="s">
        <v>319</v>
      </c>
      <c r="E42" s="12" t="s">
        <v>317</v>
      </c>
      <c r="F42" s="79">
        <v>43861</v>
      </c>
      <c r="G42" s="80">
        <v>43880.735930787036</v>
      </c>
      <c r="K42" s="67" t="s">
        <v>183</v>
      </c>
      <c r="AA42" s="67" t="s">
        <v>183</v>
      </c>
      <c r="AB42" s="67" t="s">
        <v>183</v>
      </c>
      <c r="AC42" s="67" t="s">
        <v>183</v>
      </c>
      <c r="AH42" s="67" t="s">
        <v>183</v>
      </c>
      <c r="AK42" s="67" t="s">
        <v>42</v>
      </c>
      <c r="AL42" s="67" t="s">
        <v>42</v>
      </c>
      <c r="AO42" s="67" t="s">
        <v>183</v>
      </c>
      <c r="AV42" s="67" t="s">
        <v>183</v>
      </c>
      <c r="AW42" s="67" t="s">
        <v>183</v>
      </c>
      <c r="AX42" s="67">
        <v>2</v>
      </c>
      <c r="AZ42" s="67">
        <v>2</v>
      </c>
      <c r="BA42" s="67">
        <v>2</v>
      </c>
      <c r="BB42" s="67">
        <v>2</v>
      </c>
      <c r="BC42" s="67">
        <v>2</v>
      </c>
      <c r="BD42" s="67">
        <v>2</v>
      </c>
      <c r="BE42" s="67">
        <v>2</v>
      </c>
      <c r="BF42" s="67">
        <v>2</v>
      </c>
      <c r="BG42" s="67">
        <v>2</v>
      </c>
      <c r="BH42" s="67">
        <v>2</v>
      </c>
      <c r="BI42" s="67">
        <v>2</v>
      </c>
      <c r="BJ42" s="67">
        <v>2</v>
      </c>
      <c r="BK42" s="67">
        <v>2</v>
      </c>
      <c r="BL42" s="67">
        <v>2</v>
      </c>
      <c r="BZ42" s="67" t="s">
        <v>216</v>
      </c>
      <c r="CA42" s="79">
        <v>43881</v>
      </c>
      <c r="CB42" s="80">
        <v>0.5625</v>
      </c>
      <c r="CC42" s="79" t="s">
        <v>51</v>
      </c>
      <c r="CD42" s="67" t="s">
        <v>45</v>
      </c>
      <c r="CE42" s="67">
        <v>25.54</v>
      </c>
      <c r="CF42" s="67">
        <v>25.52</v>
      </c>
      <c r="CG42" s="67">
        <v>7.8308535630378096E-2</v>
      </c>
      <c r="CH42" s="67">
        <v>6.93</v>
      </c>
      <c r="CI42" s="67">
        <v>6.95</v>
      </c>
      <c r="CJ42" s="67">
        <v>0.28860028860029363</v>
      </c>
      <c r="CK42" s="67">
        <v>0.28999999999999998</v>
      </c>
      <c r="CL42" s="67">
        <v>0.12</v>
      </c>
      <c r="CM42" s="67">
        <v>58.62068965517242</v>
      </c>
      <c r="CN42" s="67">
        <v>343.9</v>
      </c>
      <c r="CO42" s="67">
        <v>335.9</v>
      </c>
      <c r="CP42" s="67">
        <v>2.3262576330328577</v>
      </c>
      <c r="CQ42" s="67">
        <v>25.29</v>
      </c>
      <c r="CR42" s="67">
        <v>33.729999999999997</v>
      </c>
      <c r="CS42" s="67">
        <v>33.372874654013444</v>
      </c>
      <c r="CW42" s="67" t="s">
        <v>183</v>
      </c>
      <c r="CX42" s="67">
        <v>5.7</v>
      </c>
      <c r="CY42" s="67" t="s">
        <v>217</v>
      </c>
      <c r="CZ42" s="67" t="s">
        <v>57</v>
      </c>
      <c r="DA42" s="67" t="s">
        <v>55</v>
      </c>
      <c r="DB42" s="141" t="str">
        <f t="shared" si="3"/>
        <v>Janeiro</v>
      </c>
      <c r="DC42" s="141">
        <f t="shared" si="4"/>
        <v>2020</v>
      </c>
      <c r="DD42" s="142" t="str">
        <f t="shared" si="5"/>
        <v>COD018 Estação 18</v>
      </c>
    </row>
    <row r="43" spans="1:121" ht="15" customHeight="1" x14ac:dyDescent="0.25">
      <c r="A43" s="78">
        <v>29200220</v>
      </c>
      <c r="B43" s="11" t="s">
        <v>338</v>
      </c>
      <c r="C43" s="12" t="s">
        <v>357</v>
      </c>
      <c r="D43" s="12" t="s">
        <v>317</v>
      </c>
      <c r="E43" s="12" t="s">
        <v>318</v>
      </c>
      <c r="F43" s="79">
        <v>43881</v>
      </c>
      <c r="G43" s="80">
        <v>0.54861111111111105</v>
      </c>
      <c r="I43" s="67">
        <v>28</v>
      </c>
      <c r="J43" s="67">
        <v>27.71</v>
      </c>
      <c r="K43" s="67">
        <v>1.0357142857142843</v>
      </c>
      <c r="L43" s="67">
        <v>4</v>
      </c>
      <c r="O43" s="67">
        <v>27.71</v>
      </c>
      <c r="R43" s="67">
        <v>4.1399999999999997</v>
      </c>
      <c r="U43" s="67">
        <v>149.5</v>
      </c>
      <c r="AA43" s="67">
        <v>3.499999999999992</v>
      </c>
      <c r="AB43" s="67" t="s">
        <v>183</v>
      </c>
      <c r="AC43" s="67" t="s">
        <v>183</v>
      </c>
      <c r="AD43" s="67">
        <v>1410</v>
      </c>
      <c r="AE43" s="67">
        <v>1448</v>
      </c>
      <c r="AG43" s="67">
        <v>0.3</v>
      </c>
      <c r="AH43" s="67">
        <v>2.6950354609929006</v>
      </c>
      <c r="AI43" s="67">
        <v>28.26</v>
      </c>
      <c r="AJ43" s="67">
        <v>695.8</v>
      </c>
      <c r="AK43" s="67">
        <v>7.1081520964161262</v>
      </c>
      <c r="AL43" s="67">
        <v>91.55263157894737</v>
      </c>
      <c r="AM43" s="67">
        <v>7.29</v>
      </c>
      <c r="AN43" s="67">
        <v>93.4</v>
      </c>
      <c r="AO43" s="67">
        <v>2.5583006823328924</v>
      </c>
      <c r="AP43" s="79">
        <v>43880</v>
      </c>
      <c r="AR43" s="67">
        <v>99.5</v>
      </c>
      <c r="AT43" s="67">
        <v>107</v>
      </c>
      <c r="AV43" s="67">
        <v>7.5376884422110546</v>
      </c>
      <c r="AW43" s="67" t="s">
        <v>183</v>
      </c>
      <c r="AX43" s="67">
        <v>2</v>
      </c>
      <c r="AY43" s="67" t="s">
        <v>45</v>
      </c>
      <c r="AZ43" s="67">
        <v>2</v>
      </c>
      <c r="BA43" s="67">
        <v>2</v>
      </c>
      <c r="BB43" s="67">
        <v>2</v>
      </c>
      <c r="BC43" s="67">
        <v>2</v>
      </c>
      <c r="BD43" s="67">
        <v>2</v>
      </c>
      <c r="BE43" s="67">
        <v>2</v>
      </c>
      <c r="BF43" s="67">
        <v>2</v>
      </c>
      <c r="BG43" s="67">
        <v>2</v>
      </c>
      <c r="BH43" s="67">
        <v>2</v>
      </c>
      <c r="BI43" s="67">
        <v>2</v>
      </c>
      <c r="BJ43" s="67">
        <v>2</v>
      </c>
      <c r="BK43" s="67">
        <v>2</v>
      </c>
      <c r="BL43" s="67">
        <v>2</v>
      </c>
      <c r="CC43" s="79"/>
      <c r="DB43" s="141" t="str">
        <f t="shared" si="3"/>
        <v>Fevereiro</v>
      </c>
      <c r="DC43" s="141">
        <f t="shared" si="4"/>
        <v>2020</v>
      </c>
      <c r="DD43" s="142" t="str">
        <f t="shared" si="5"/>
        <v>COD019 Estação 19</v>
      </c>
    </row>
    <row r="44" spans="1:121" ht="15" customHeight="1" x14ac:dyDescent="0.25">
      <c r="A44" s="78">
        <v>6200221</v>
      </c>
      <c r="B44" s="67" t="s">
        <v>325</v>
      </c>
      <c r="C44" s="67" t="s">
        <v>344</v>
      </c>
      <c r="D44" s="12" t="s">
        <v>318</v>
      </c>
      <c r="E44" s="12" t="s">
        <v>55</v>
      </c>
      <c r="F44" s="79">
        <v>43882</v>
      </c>
      <c r="G44" s="80">
        <v>43882.613257407407</v>
      </c>
      <c r="K44" s="67" t="s">
        <v>183</v>
      </c>
      <c r="AA44" s="67" t="s">
        <v>183</v>
      </c>
      <c r="AB44" s="67" t="s">
        <v>183</v>
      </c>
      <c r="AC44" s="67" t="s">
        <v>183</v>
      </c>
      <c r="AH44" s="67" t="s">
        <v>183</v>
      </c>
      <c r="AK44" s="67" t="s">
        <v>42</v>
      </c>
      <c r="AL44" s="67" t="s">
        <v>42</v>
      </c>
      <c r="AO44" s="67" t="s">
        <v>183</v>
      </c>
      <c r="AV44" s="67" t="s">
        <v>183</v>
      </c>
      <c r="AW44" s="67" t="s">
        <v>183</v>
      </c>
      <c r="AX44" s="67">
        <v>2</v>
      </c>
      <c r="AZ44" s="67">
        <v>2</v>
      </c>
      <c r="BA44" s="67">
        <v>2</v>
      </c>
      <c r="BB44" s="67">
        <v>2</v>
      </c>
      <c r="BC44" s="67">
        <v>2</v>
      </c>
      <c r="BD44" s="67">
        <v>2</v>
      </c>
      <c r="BE44" s="67">
        <v>2</v>
      </c>
      <c r="BF44" s="67">
        <v>2</v>
      </c>
      <c r="BG44" s="67">
        <v>2</v>
      </c>
      <c r="BH44" s="67">
        <v>2</v>
      </c>
      <c r="BI44" s="67">
        <v>2</v>
      </c>
      <c r="BJ44" s="67">
        <v>2</v>
      </c>
      <c r="BK44" s="67">
        <v>2</v>
      </c>
      <c r="BL44" s="67">
        <v>2</v>
      </c>
      <c r="CC44" s="79"/>
      <c r="DB44" s="147" t="str">
        <f>IF(MONTH(F44)=1,"Janeiro",IF(MONTH(F44)=2,"Fevereiro",IF(MONTH(F44)=3,"Março",IF(MONTH(F44)=4,"Abril",IF(MONTH(F44)=5,"Maio",IF(MONTH(F44)=6,"Junho",IF(MONTH(F44)=7,"Julho",IF(MONTH(F44)=8,"Agosto",IF(MONTH(F44=9),"Setembro",IF(MONTH(F44=10),"Outubro",IF(MONTH(F44=11),"Novembro","Dezembro")))))))))))</f>
        <v>Fevereiro</v>
      </c>
      <c r="DC44" s="147">
        <f>YEAR(F44)</f>
        <v>2020</v>
      </c>
      <c r="DD44" s="147" t="str">
        <f>B44&amp;" "&amp;C44</f>
        <v>COD006 Estação 6</v>
      </c>
    </row>
    <row r="45" spans="1:121" ht="15" customHeight="1" x14ac:dyDescent="0.25">
      <c r="A45" s="78">
        <v>13210225</v>
      </c>
      <c r="B45" s="67" t="s">
        <v>332</v>
      </c>
      <c r="C45" s="67" t="s">
        <v>351</v>
      </c>
      <c r="D45" s="12" t="s">
        <v>55</v>
      </c>
      <c r="E45" s="94" t="s">
        <v>317</v>
      </c>
      <c r="F45" s="79">
        <v>44252</v>
      </c>
      <c r="G45" s="80">
        <v>44252.034376851851</v>
      </c>
      <c r="K45" s="67" t="s">
        <v>183</v>
      </c>
      <c r="AA45" s="67" t="s">
        <v>183</v>
      </c>
      <c r="AB45" s="67" t="s">
        <v>183</v>
      </c>
      <c r="AC45" s="67" t="s">
        <v>183</v>
      </c>
      <c r="AH45" s="67" t="s">
        <v>183</v>
      </c>
      <c r="AK45" s="67" t="s">
        <v>42</v>
      </c>
      <c r="AL45" s="67" t="s">
        <v>42</v>
      </c>
      <c r="AO45" s="67" t="s">
        <v>183</v>
      </c>
      <c r="AV45" s="67" t="s">
        <v>183</v>
      </c>
      <c r="AW45" s="67" t="s">
        <v>183</v>
      </c>
      <c r="AX45" s="67">
        <v>2</v>
      </c>
      <c r="AY45" s="67" t="s">
        <v>270</v>
      </c>
      <c r="AZ45" s="67">
        <v>2</v>
      </c>
      <c r="BA45" s="67">
        <v>2</v>
      </c>
      <c r="BB45" s="67">
        <v>2</v>
      </c>
      <c r="BC45" s="67">
        <v>2</v>
      </c>
      <c r="BD45" s="67">
        <v>2</v>
      </c>
      <c r="BE45" s="67">
        <v>2</v>
      </c>
      <c r="BF45" s="67">
        <v>2</v>
      </c>
      <c r="BG45" s="67">
        <v>2</v>
      </c>
      <c r="BH45" s="67">
        <v>2</v>
      </c>
      <c r="BI45" s="67">
        <v>2</v>
      </c>
      <c r="BJ45" s="67">
        <v>2</v>
      </c>
      <c r="BK45" s="67">
        <v>2</v>
      </c>
      <c r="BL45" s="67">
        <v>2</v>
      </c>
      <c r="CC45" s="79"/>
      <c r="DB45" s="147" t="str">
        <f>IF(MONTH(F45)=1,"Janeiro",IF(MONTH(F45)=2,"Fevereiro",IF(MONTH(F45)=3,"Março",IF(MONTH(F45)=4,"Abril",IF(MONTH(F45)=5,"Maio",IF(MONTH(F45)=6,"Junho",IF(MONTH(F45)=7,"Julho",IF(MONTH(F45)=8,"Agosto",IF(MONTH(F45=9),"Setembro",IF(MONTH(F45=10),"Outubro",IF(MONTH(F45=11),"Novembro","Dezembro")))))))))))</f>
        <v>Fevereiro</v>
      </c>
      <c r="DC45" s="147">
        <f>YEAR(F45)</f>
        <v>2021</v>
      </c>
      <c r="DD45" s="147" t="str">
        <f>B45&amp;" "&amp;C45</f>
        <v>COD013 Estação 13</v>
      </c>
    </row>
    <row r="46" spans="1:121" ht="15" customHeight="1" x14ac:dyDescent="0.25">
      <c r="A46" s="78">
        <v>5210225</v>
      </c>
      <c r="B46" s="67" t="s">
        <v>324</v>
      </c>
      <c r="C46" s="67" t="s">
        <v>343</v>
      </c>
      <c r="E46" s="94"/>
      <c r="F46" s="79">
        <v>44252</v>
      </c>
      <c r="G46" s="80">
        <v>44252.043146759257</v>
      </c>
      <c r="K46" s="67" t="s">
        <v>183</v>
      </c>
      <c r="AA46" s="67" t="s">
        <v>183</v>
      </c>
      <c r="AB46" s="67" t="s">
        <v>183</v>
      </c>
      <c r="AC46" s="67" t="s">
        <v>183</v>
      </c>
      <c r="AH46" s="67" t="s">
        <v>183</v>
      </c>
      <c r="AK46" s="67" t="s">
        <v>42</v>
      </c>
      <c r="AL46" s="67" t="s">
        <v>42</v>
      </c>
      <c r="AO46" s="67" t="s">
        <v>183</v>
      </c>
      <c r="AV46" s="67" t="s">
        <v>183</v>
      </c>
      <c r="AW46" s="67" t="s">
        <v>183</v>
      </c>
      <c r="AX46" s="67">
        <v>2</v>
      </c>
      <c r="AZ46" s="67">
        <v>2</v>
      </c>
      <c r="BA46" s="67">
        <v>2</v>
      </c>
      <c r="BB46" s="67">
        <v>2</v>
      </c>
      <c r="BC46" s="67">
        <v>2</v>
      </c>
      <c r="BD46" s="67">
        <v>2</v>
      </c>
      <c r="BE46" s="67">
        <v>2</v>
      </c>
      <c r="BF46" s="67">
        <v>2</v>
      </c>
      <c r="BG46" s="67">
        <v>2</v>
      </c>
      <c r="BH46" s="67">
        <v>2</v>
      </c>
      <c r="BI46" s="67">
        <v>2</v>
      </c>
      <c r="BJ46" s="67">
        <v>2</v>
      </c>
      <c r="BK46" s="67">
        <v>2</v>
      </c>
      <c r="BL46" s="67">
        <v>2</v>
      </c>
      <c r="CC46" s="79"/>
      <c r="DB46" s="147" t="str">
        <f>IF(MONTH(F46)=1,"Janeiro",IF(MONTH(F46)=2,"Fevereiro",IF(MONTH(F46)=3,"Março",IF(MONTH(F46)=4,"Abril",IF(MONTH(F46)=5,"Maio",IF(MONTH(F46)=6,"Junho",IF(MONTH(F46)=7,"Julho",IF(MONTH(F46)=8,"Agosto",IF(MONTH(F46=9),"Setembro",IF(MONTH(F46=10),"Outubro",IF(MONTH(F46=11),"Novembro","Dezembro")))))))))))</f>
        <v>Fevereiro</v>
      </c>
      <c r="DC46" s="147">
        <f>YEAR(F46)</f>
        <v>2021</v>
      </c>
      <c r="DD46" s="147" t="str">
        <f>B46&amp;" "&amp;C46</f>
        <v>COD005 Estação 5</v>
      </c>
    </row>
    <row r="47" spans="1:121" ht="15" customHeight="1" x14ac:dyDescent="0.25">
      <c r="E47" s="94"/>
    </row>
    <row r="48" spans="1:121" ht="15" customHeight="1" x14ac:dyDescent="0.25">
      <c r="E48" s="94"/>
    </row>
    <row r="49" spans="5:5" ht="15" customHeight="1" x14ac:dyDescent="0.25">
      <c r="E49" s="94"/>
    </row>
    <row r="50" spans="5:5" ht="15" customHeight="1" x14ac:dyDescent="0.25">
      <c r="E50" s="94"/>
    </row>
    <row r="51" spans="5:5" ht="15" customHeight="1" x14ac:dyDescent="0.25">
      <c r="E51" s="94"/>
    </row>
    <row r="52" spans="5:5" ht="15" customHeight="1" x14ac:dyDescent="0.25">
      <c r="E52" s="94"/>
    </row>
    <row r="53" spans="5:5" ht="15" customHeight="1" x14ac:dyDescent="0.25">
      <c r="E53" s="94"/>
    </row>
    <row r="54" spans="5:5" ht="15" customHeight="1" x14ac:dyDescent="0.25">
      <c r="E54" s="94"/>
    </row>
    <row r="55" spans="5:5" ht="15" customHeight="1" x14ac:dyDescent="0.25">
      <c r="E55" s="94"/>
    </row>
    <row r="56" spans="5:5" ht="15" customHeight="1" x14ac:dyDescent="0.25">
      <c r="E56" s="94"/>
    </row>
  </sheetData>
  <sortState xmlns:xlrd2="http://schemas.microsoft.com/office/spreadsheetml/2017/richdata2" ref="A2:CY6">
    <sortCondition ref="A2"/>
  </sortState>
  <phoneticPr fontId="2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roup Box 2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roup Box 5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Group Box 6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Group Box 7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Group Box 8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Group Box 9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Group Box 10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Group Box 11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15" name="Group Box 28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6" name="Group Box 35">
              <controlPr defaultSize="0" autoFill="0" autoPict="0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7" name="Group Box 36">
              <controlPr defaultSize="0" autoFill="0" autoPict="0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18" name="Group Box 39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19" name="Drop Down 44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20" name="Drop Down 45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21" name="Drop Down 46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22" name="Drop Down 47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23" name="Drop Down 48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24" name="Drop Down 49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25" name="Drop Down 50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26" name="Drop Down 51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27" name="Drop Down 52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28" name="Drop Down 53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29" name="Drop Down 54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30" name="Drop Down 55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31" name="Drop Down 56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32" name="Drop Down 57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33" name="Drop Down 58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34" name="Drop Down 59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35" name="Drop Down 60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36" name="Drop Down 61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37" name="Drop Down 62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38" name="Drop Down 63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39" name="Group Box 64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40" name="Group Box 65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41" name="Group Box 66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42" name="Group Box 67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43" name="Group Box 68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44" name="Group Box 69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45" name="Group Box 70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46" name="Group Box 71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47" name="Group Box 72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48" name="Group Box 73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49" name="Group Box 74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50" name="Group Box 75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51" name="Group Box 7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52" name="Group Box 77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53" name="Group Box 78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54" name="Drop Down 79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55" name="Drop Down 80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56" name="Drop Down 81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57" name="Drop Down 82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58" name="Drop Down 83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59" name="Drop Down 84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60" name="Drop Down 85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61" name="Drop Down 86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62" name="Drop Down 87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63" name="Drop Down 88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64" name="Drop Down 89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65" name="Drop Down 90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66" name="Drop Down 91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67" name="Drop Down 92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68" name="Drop Down 93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69" name="Drop Down 94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70" name="Drop Down 95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71" name="Drop Down 96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72" name="Drop Down 97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73" name="Drop Down 98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74" name="Group Box 99">
              <controlPr defaultSize="0" autoFill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75" name="Group Box 100">
              <controlPr defaultSize="0" autoFill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76" name="Group Box 101">
              <controlPr defaultSize="0" autoFill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77" name="Group Box 102">
              <controlPr defaultSize="0" autoFill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78" name="Group Box 103">
              <controlPr defaultSize="0" autoFill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79" name="Group Box 104">
              <controlPr defaultSize="0" autoFill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80" name="Group Box 105">
              <controlPr defaultSize="0" autoFill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81" name="Group Box 106">
              <controlPr defaultSize="0" autoFill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82" name="Group Box 107">
              <controlPr defaultSize="0" autoFill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83" name="Group Box 108">
              <controlPr defaultSize="0" autoFill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84" name="Group Box 109">
              <controlPr defaultSize="0" autoFill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85" name="Group Box 110">
              <controlPr defaultSize="0" autoFill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86" name="Group Box 111">
              <controlPr defaultSize="0" autoFill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87" name="Group Box 112">
              <controlPr defaultSize="0" autoFill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88" name="Group Box 113">
              <controlPr defaultSize="0" autoFill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89" name="Drop Down 114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90" name="Drop Down 115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91" name="Drop Down 116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92" name="Drop Down 117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93" name="Drop Down 118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94" name="Drop Down 119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95" name="Drop Down 120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96" name="Drop Down 121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97" name="Drop Down 122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98" name="Drop Down 123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99" name="Drop Down 124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100" name="Drop Down 125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101" name="Drop Down 126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102" name="Drop Down 127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103" name="Drop Down 128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104" name="Drop Down 129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105" name="Drop Down 130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106" name="Drop Down 131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107" name="Drop Down 132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108" name="Drop Down 133">
              <controlPr defaultSize="0" autoLine="0" autoPict="0">
                <anchor moveWithCells="1">
                  <from>
                    <xdr:col>35</xdr:col>
                    <xdr:colOff>0</xdr:colOff>
                    <xdr:row>20</xdr:row>
                    <xdr:rowOff>0</xdr:rowOff>
                  </from>
                  <to>
                    <xdr:col>35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109" name="Group Box 134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110" name="Group Box 135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111" name="Group Box 136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112" name="Group Box 137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113" name="Group Box 138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114" name="Group Box 139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115" name="Group Box 140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116" name="Group Box 141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117" name="Group Box 142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118" name="Group Box 143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119" name="Group Box 144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120" name="Group Box 145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21" name="Group Box 14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122" name="Group Box 147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123" name="Group Box 148">
              <controlPr defaultSize="0" autoFill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124" name="Drop Down 149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125" name="Drop Down 150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126" name="Drop Down 151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127" name="Drop Down 152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128" name="Drop Down 153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129" name="Drop Down 154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130" name="Drop Down 155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131" name="Drop Down 156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132" name="Drop Down 157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133" name="Drop Down 158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134" name="Drop Down 159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135" name="Drop Down 160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136" name="Drop Down 161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137" name="Drop Down 162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138" name="Drop Down 163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139" name="Drop Down 164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140" name="Drop Down 165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141" name="Drop Down 166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142" name="Drop Down 167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143" name="Drop Down 168">
              <controlPr defaultSize="0" autoLine="0" autoPict="0">
                <anchor moveWithCells="1">
                  <from>
                    <xdr:col>35</xdr:col>
                    <xdr:colOff>0</xdr:colOff>
                    <xdr:row>10</xdr:row>
                    <xdr:rowOff>0</xdr:rowOff>
                  </from>
                  <to>
                    <xdr:col>35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144" name="Group Box 170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145" name="Group Box 171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146" name="Group Box 172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147" name="Group Box 173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148" name="Group Box 174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149" name="Group Box 175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150" name="Group Box 176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151" name="Group Box 177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152" name="Group Box 178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153" name="Group Box 179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154" name="Group Box 180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155" name="Group Box 181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156" name="Group Box 182">
              <controlPr defaultSize="0" autoFill="0" autoPict="0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157" name="Group Box 183">
              <controlPr defaultSize="0" autoFill="0" autoPict="0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158" name="Group Box 184">
              <controlPr defaultSize="0" autoFill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" r:id="rId159" name="Drop Down 185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6" r:id="rId160" name="Drop Down 186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161" name="Drop Down 187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162" name="Drop Down 188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163" name="Drop Down 189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164" name="Drop Down 190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165" name="Drop Down 191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166" name="Drop Down 192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167" name="Drop Down 193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168" name="Drop Down 194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169" name="Drop Down 195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170" name="Drop Down 196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171" name="Drop Down 197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172" name="Drop Down 198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173" name="Drop Down 199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174" name="Drop Down 200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175" name="Drop Down 201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176" name="Drop Down 202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177" name="Drop Down 203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178" name="Drop Down 204">
              <controlPr defaultSize="0" autoLine="0" autoPict="0">
                <anchor moveWithCells="1">
                  <from>
                    <xdr:col>35</xdr:col>
                    <xdr:colOff>0</xdr:colOff>
                    <xdr:row>2</xdr:row>
                    <xdr:rowOff>0</xdr:rowOff>
                  </from>
                  <to>
                    <xdr:col>35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179" name="Group Box 205">
              <controlPr defaultSize="0" autoFill="0" autoPict="0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80" name="Group Box 206">
              <controlPr defaultSize="0" autoFill="0" autoPict="0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8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2:BT9"/>
  <sheetViews>
    <sheetView showGridLines="0" showRowColHeaders="0" workbookViewId="0">
      <selection activeCell="D12" sqref="D12"/>
    </sheetView>
  </sheetViews>
  <sheetFormatPr defaultColWidth="0" defaultRowHeight="15" x14ac:dyDescent="0.25"/>
  <cols>
    <col min="1" max="1" width="58.42578125" customWidth="1"/>
    <col min="2" max="2" width="2.42578125" customWidth="1"/>
    <col min="3" max="3" width="18.28515625" bestFit="1" customWidth="1"/>
    <col min="4" max="4" width="18" customWidth="1"/>
    <col min="5" max="5" width="18.28515625" customWidth="1"/>
    <col min="6" max="6" width="3.7109375" customWidth="1"/>
    <col min="7" max="7" width="21.140625" hidden="1" customWidth="1"/>
    <col min="8" max="21" width="10.7109375" hidden="1" customWidth="1"/>
    <col min="22" max="28" width="9" hidden="1" customWidth="1"/>
    <col min="29" max="29" width="9.85546875" hidden="1" customWidth="1"/>
    <col min="30" max="30" width="9" hidden="1" customWidth="1"/>
    <col min="31" max="31" width="9.85546875" hidden="1" customWidth="1"/>
    <col min="32" max="32" width="15.7109375" hidden="1" customWidth="1"/>
    <col min="33" max="33" width="12.5703125" hidden="1" customWidth="1"/>
    <col min="34" max="34" width="10.7109375" hidden="1" customWidth="1"/>
    <col min="35" max="35" width="15.7109375" hidden="1" customWidth="1"/>
    <col min="36" max="36" width="15.42578125" hidden="1" customWidth="1"/>
    <col min="37" max="37" width="10.7109375" hidden="1" customWidth="1"/>
    <col min="38" max="38" width="11" hidden="1" customWidth="1"/>
    <col min="39" max="39" width="10.7109375" hidden="1" customWidth="1"/>
    <col min="40" max="40" width="15.7109375" hidden="1" customWidth="1"/>
    <col min="41" max="41" width="12.5703125" hidden="1" customWidth="1"/>
    <col min="42" max="42" width="10.7109375" hidden="1" customWidth="1"/>
    <col min="43" max="43" width="15.7109375" hidden="1" customWidth="1"/>
    <col min="44" max="44" width="12.5703125" hidden="1" customWidth="1"/>
    <col min="45" max="45" width="9.85546875" hidden="1" customWidth="1"/>
    <col min="46" max="46" width="15.7109375" hidden="1" customWidth="1"/>
    <col min="47" max="47" width="12.5703125" hidden="1" customWidth="1"/>
    <col min="48" max="48" width="9.85546875" hidden="1" customWidth="1"/>
    <col min="49" max="49" width="15.7109375" hidden="1" customWidth="1"/>
    <col min="50" max="50" width="15.42578125" hidden="1" customWidth="1"/>
    <col min="51" max="51" width="10.7109375" hidden="1" customWidth="1"/>
    <col min="52" max="52" width="15.7109375" hidden="1" customWidth="1"/>
    <col min="53" max="53" width="12.5703125" hidden="1" customWidth="1"/>
    <col min="54" max="54" width="10.7109375" hidden="1" customWidth="1"/>
    <col min="55" max="55" width="15.7109375" hidden="1" customWidth="1"/>
    <col min="56" max="56" width="15.42578125" hidden="1" customWidth="1"/>
    <col min="57" max="57" width="10.7109375" hidden="1" customWidth="1"/>
    <col min="58" max="58" width="12.140625" hidden="1" customWidth="1"/>
    <col min="59" max="59" width="9.85546875" hidden="1" customWidth="1"/>
    <col min="60" max="60" width="15.7109375" hidden="1" customWidth="1"/>
    <col min="61" max="61" width="12.5703125" hidden="1" customWidth="1"/>
    <col min="62" max="62" width="9.85546875" hidden="1" customWidth="1"/>
    <col min="63" max="63" width="15.7109375" hidden="1" customWidth="1"/>
    <col min="64" max="64" width="12.5703125" hidden="1" customWidth="1"/>
    <col min="65" max="65" width="9.85546875" hidden="1" customWidth="1"/>
    <col min="66" max="66" width="15.7109375" hidden="1" customWidth="1"/>
    <col min="67" max="67" width="15.42578125" hidden="1" customWidth="1"/>
    <col min="68" max="68" width="9.85546875" hidden="1" customWidth="1"/>
    <col min="69" max="69" width="11" hidden="1" customWidth="1"/>
    <col min="70" max="70" width="9.85546875" hidden="1" customWidth="1"/>
    <col min="71" max="71" width="15.7109375" hidden="1" customWidth="1"/>
    <col min="72" max="72" width="10.7109375" hidden="1" customWidth="1"/>
    <col min="73" max="16384" width="9.140625" hidden="1"/>
  </cols>
  <sheetData>
    <row r="2" spans="3:5" ht="18.75" x14ac:dyDescent="0.25">
      <c r="C2" s="244" t="s">
        <v>362</v>
      </c>
      <c r="D2" s="244"/>
      <c r="E2" s="244"/>
    </row>
    <row r="3" spans="3:5" x14ac:dyDescent="0.25">
      <c r="C3" s="111" t="s">
        <v>42</v>
      </c>
      <c r="D3" t="s">
        <v>202</v>
      </c>
      <c r="E3" t="s">
        <v>203</v>
      </c>
    </row>
    <row r="4" spans="3:5" x14ac:dyDescent="0.25">
      <c r="C4" s="112" t="s">
        <v>361</v>
      </c>
      <c r="D4" s="113"/>
      <c r="E4" s="113"/>
    </row>
    <row r="5" spans="3:5" x14ac:dyDescent="0.25">
      <c r="C5" s="114">
        <v>1191015</v>
      </c>
      <c r="D5" s="113">
        <v>43753</v>
      </c>
      <c r="E5" s="113">
        <v>43755</v>
      </c>
    </row>
    <row r="6" spans="3:5" x14ac:dyDescent="0.25">
      <c r="C6" s="114">
        <v>1191017</v>
      </c>
      <c r="D6" s="113">
        <v>43755</v>
      </c>
      <c r="E6" s="113">
        <v>43775</v>
      </c>
    </row>
    <row r="7" spans="3:5" x14ac:dyDescent="0.25">
      <c r="C7" s="114">
        <v>1191106</v>
      </c>
      <c r="D7" s="113">
        <v>43775</v>
      </c>
      <c r="E7" s="113">
        <v>43805</v>
      </c>
    </row>
    <row r="8" spans="3:5" x14ac:dyDescent="0.25">
      <c r="C8" s="114">
        <v>1191206</v>
      </c>
      <c r="D8" s="113">
        <v>43805</v>
      </c>
      <c r="E8" s="113">
        <v>43800</v>
      </c>
    </row>
    <row r="9" spans="3:5" x14ac:dyDescent="0.25">
      <c r="C9" s="114">
        <v>1191220</v>
      </c>
      <c r="D9" s="113">
        <v>43819</v>
      </c>
      <c r="E9" s="113">
        <v>43837</v>
      </c>
    </row>
  </sheetData>
  <mergeCells count="1">
    <mergeCell ref="C2:E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BotãoVoltar">
                <anchor moveWithCells="1" sizeWithCells="1">
                  <from>
                    <xdr:col>0</xdr:col>
                    <xdr:colOff>161925</xdr:colOff>
                    <xdr:row>29</xdr:row>
                    <xdr:rowOff>114300</xdr:rowOff>
                  </from>
                  <to>
                    <xdr:col>0</xdr:col>
                    <xdr:colOff>962025</xdr:colOff>
                    <xdr:row>31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8"/>
  <dimension ref="A1:M97"/>
  <sheetViews>
    <sheetView showGridLines="0" topLeftCell="A28" zoomScaleNormal="100" zoomScaleSheetLayoutView="100" workbookViewId="0">
      <selection activeCell="B41" sqref="B41:K44"/>
    </sheetView>
  </sheetViews>
  <sheetFormatPr defaultColWidth="0" defaultRowHeight="15" customHeight="1" zeroHeight="1" x14ac:dyDescent="0.25"/>
  <cols>
    <col min="1" max="1" width="1.28515625" customWidth="1"/>
    <col min="2" max="3" width="9.140625" customWidth="1"/>
    <col min="4" max="4" width="8" customWidth="1"/>
    <col min="5" max="5" width="10.85546875" customWidth="1"/>
    <col min="6" max="7" width="11.140625" customWidth="1"/>
    <col min="8" max="8" width="9.28515625" customWidth="1"/>
    <col min="9" max="9" width="11.85546875" customWidth="1"/>
    <col min="10" max="10" width="8.7109375" customWidth="1"/>
    <col min="11" max="11" width="12.85546875" customWidth="1"/>
    <col min="12" max="12" width="1" customWidth="1"/>
    <col min="13" max="16384" width="9.140625" hidden="1"/>
  </cols>
  <sheetData>
    <row r="1" spans="2:12" ht="15.75" x14ac:dyDescent="0.25">
      <c r="K1" s="145" t="s">
        <v>359</v>
      </c>
      <c r="L1" s="71"/>
    </row>
    <row r="2" spans="2:12" ht="15.75" x14ac:dyDescent="0.25">
      <c r="K2" s="146" t="s">
        <v>360</v>
      </c>
    </row>
    <row r="3" spans="2:12" ht="5.0999999999999996" customHeight="1" x14ac:dyDescent="0.25"/>
    <row r="4" spans="2:12" ht="15.75" x14ac:dyDescent="0.25">
      <c r="B4" s="202" t="s">
        <v>0</v>
      </c>
      <c r="C4" s="202"/>
      <c r="D4" s="202"/>
      <c r="E4" s="202"/>
      <c r="F4" s="202"/>
      <c r="G4" s="202"/>
      <c r="H4" s="202"/>
      <c r="I4" s="202"/>
      <c r="J4" s="202"/>
      <c r="K4" s="202"/>
    </row>
    <row r="5" spans="2:12" ht="5.0999999999999996" customHeight="1" thickBot="1" x14ac:dyDescent="0.3"/>
    <row r="6" spans="2:12" ht="15" customHeight="1" x14ac:dyDescent="0.25">
      <c r="B6" s="35" t="s">
        <v>36</v>
      </c>
      <c r="C6" s="20"/>
      <c r="D6" s="139"/>
      <c r="E6" s="211" t="s">
        <v>185</v>
      </c>
      <c r="F6" s="211"/>
      <c r="G6" s="75" t="str">
        <f>IF(D6="","",VLOOKUP(D6,[4]Listas!B3:C21,2))</f>
        <v/>
      </c>
      <c r="H6" s="75"/>
      <c r="I6" s="75"/>
      <c r="J6" s="75"/>
      <c r="K6" s="76"/>
      <c r="L6" s="15">
        <f>DAY($G$7)</f>
        <v>0</v>
      </c>
    </row>
    <row r="7" spans="2:12" ht="15" customHeight="1" thickBot="1" x14ac:dyDescent="0.3">
      <c r="B7" s="57" t="s">
        <v>37</v>
      </c>
      <c r="C7" s="58"/>
      <c r="D7" s="59" t="s">
        <v>59</v>
      </c>
      <c r="E7" s="58"/>
      <c r="F7" s="60" t="s">
        <v>1</v>
      </c>
      <c r="G7" s="61"/>
      <c r="H7" s="60" t="s">
        <v>63</v>
      </c>
      <c r="I7" s="62"/>
      <c r="J7" s="63"/>
      <c r="K7" s="23"/>
      <c r="L7" s="15">
        <f>MONTH(G7)</f>
        <v>1</v>
      </c>
    </row>
    <row r="8" spans="2:12" ht="4.5" customHeight="1" thickBot="1" x14ac:dyDescent="0.3">
      <c r="B8" s="9"/>
      <c r="C8" s="9"/>
      <c r="D8" s="9"/>
      <c r="E8" s="9"/>
      <c r="F8" s="9"/>
      <c r="G8" s="9"/>
      <c r="H8" s="9"/>
      <c r="I8" s="9"/>
      <c r="J8" s="9"/>
      <c r="K8" s="9"/>
      <c r="L8" s="16">
        <f>YEAR(G7)</f>
        <v>1900</v>
      </c>
    </row>
    <row r="9" spans="2:12" x14ac:dyDescent="0.25">
      <c r="B9" s="245" t="s">
        <v>187</v>
      </c>
      <c r="C9" s="246"/>
      <c r="D9" s="246"/>
      <c r="E9" s="246"/>
      <c r="F9" s="246"/>
      <c r="G9" s="246"/>
      <c r="H9" s="44" t="s">
        <v>126</v>
      </c>
      <c r="I9" s="55" t="str">
        <f>IF($D$6="","",IF($G$7&lt;&gt;"",RIGHT($D$6,2)&amp;RIGHT($L$8,2)&amp;IF($L$7&lt;10,"0"&amp;$L$7,$L$7)&amp;IF($L$6&lt;10,"0"&amp;$L$6,$L$6),""))</f>
        <v/>
      </c>
      <c r="J9" s="29" t="s">
        <v>63</v>
      </c>
      <c r="K9" s="50"/>
    </row>
    <row r="10" spans="2:12" x14ac:dyDescent="0.25">
      <c r="B10" s="247" t="s">
        <v>3</v>
      </c>
      <c r="C10" s="248"/>
      <c r="D10" s="248"/>
      <c r="E10" s="249"/>
      <c r="F10" s="223" t="s">
        <v>7</v>
      </c>
      <c r="G10" s="224"/>
      <c r="H10" s="250"/>
      <c r="I10" s="223" t="s">
        <v>9</v>
      </c>
      <c r="J10" s="250"/>
      <c r="K10" s="133" t="s">
        <v>10</v>
      </c>
    </row>
    <row r="11" spans="2:12" ht="15" customHeight="1" x14ac:dyDescent="0.25">
      <c r="B11" s="251" t="s">
        <v>35</v>
      </c>
      <c r="C11" s="252"/>
      <c r="D11" s="252"/>
      <c r="E11" s="253"/>
      <c r="F11" s="254"/>
      <c r="G11" s="255"/>
      <c r="H11" s="256"/>
      <c r="I11" s="254"/>
      <c r="J11" s="256"/>
      <c r="K11" s="64" t="str">
        <f>IFERROR((ABS((I11/F11)-1)*100),"%")</f>
        <v>%</v>
      </c>
    </row>
    <row r="12" spans="2:12" ht="5.0999999999999996" customHeight="1" x14ac:dyDescent="0.25">
      <c r="B12" s="1"/>
      <c r="C12" s="2"/>
      <c r="D12" s="2"/>
      <c r="E12" s="2"/>
      <c r="F12" s="9"/>
      <c r="G12" s="9"/>
      <c r="H12" s="9"/>
      <c r="I12" s="9"/>
      <c r="J12" s="9"/>
      <c r="K12" s="18"/>
    </row>
    <row r="13" spans="2:12" ht="16.5" customHeight="1" x14ac:dyDescent="0.25">
      <c r="B13" s="166" t="s">
        <v>23</v>
      </c>
      <c r="C13" s="167"/>
      <c r="D13" s="167"/>
      <c r="E13" s="168"/>
      <c r="F13" s="172" t="s">
        <v>8</v>
      </c>
      <c r="G13" s="175" t="s">
        <v>9</v>
      </c>
      <c r="H13" s="177"/>
      <c r="I13" s="172" t="s">
        <v>28</v>
      </c>
      <c r="J13" s="172" t="s">
        <v>11</v>
      </c>
      <c r="K13" s="257" t="s">
        <v>10</v>
      </c>
    </row>
    <row r="14" spans="2:12" ht="14.25" customHeight="1" x14ac:dyDescent="0.25">
      <c r="B14" s="169"/>
      <c r="C14" s="170"/>
      <c r="D14" s="170"/>
      <c r="E14" s="171"/>
      <c r="F14" s="173"/>
      <c r="G14" s="176"/>
      <c r="H14" s="178"/>
      <c r="I14" s="173"/>
      <c r="J14" s="173"/>
      <c r="K14" s="258"/>
    </row>
    <row r="15" spans="2:12" ht="34.5" customHeight="1" x14ac:dyDescent="0.25">
      <c r="B15" s="251" t="s">
        <v>22</v>
      </c>
      <c r="C15" s="252"/>
      <c r="D15" s="252"/>
      <c r="E15" s="253"/>
      <c r="F15" s="136"/>
      <c r="G15" s="254"/>
      <c r="H15" s="256"/>
      <c r="I15" s="136"/>
      <c r="J15" s="136"/>
      <c r="K15" s="68" t="str">
        <f>IFERROR((ABS((G15/F15)-1)*100),"%")</f>
        <v>%</v>
      </c>
    </row>
    <row r="16" spans="2:12" ht="5.0999999999999996" customHeight="1" x14ac:dyDescent="0.25">
      <c r="B16" s="1"/>
      <c r="C16" s="2"/>
      <c r="D16" s="2"/>
      <c r="E16" s="2"/>
      <c r="F16" s="9"/>
      <c r="G16" s="9"/>
      <c r="H16" s="9"/>
      <c r="I16" s="9"/>
      <c r="J16" s="9"/>
      <c r="K16" s="18"/>
    </row>
    <row r="17" spans="2:13" ht="30" x14ac:dyDescent="0.25">
      <c r="B17" s="259" t="s">
        <v>17</v>
      </c>
      <c r="C17" s="260"/>
      <c r="D17" s="261"/>
      <c r="E17" s="127" t="s">
        <v>8</v>
      </c>
      <c r="F17" s="129" t="s">
        <v>12</v>
      </c>
      <c r="G17" s="196" t="s">
        <v>9</v>
      </c>
      <c r="H17" s="262"/>
      <c r="I17" s="131" t="s">
        <v>26</v>
      </c>
      <c r="J17" s="129" t="s">
        <v>19</v>
      </c>
      <c r="K17" s="133" t="s">
        <v>10</v>
      </c>
    </row>
    <row r="18" spans="2:13" ht="15" customHeight="1" x14ac:dyDescent="0.25">
      <c r="B18" s="183" t="s">
        <v>27</v>
      </c>
      <c r="C18" s="184"/>
      <c r="D18" s="184"/>
      <c r="E18" s="126"/>
      <c r="F18" s="136"/>
      <c r="G18" s="263"/>
      <c r="H18" s="263"/>
      <c r="I18" s="136"/>
      <c r="J18" s="136"/>
      <c r="K18" s="64" t="str">
        <f>IFERROR((ABS((G18/E18)-1)*100),"%")</f>
        <v>%</v>
      </c>
    </row>
    <row r="19" spans="2:13" ht="15" customHeight="1" x14ac:dyDescent="0.25">
      <c r="B19" s="183"/>
      <c r="C19" s="184"/>
      <c r="D19" s="184"/>
      <c r="E19" s="126"/>
      <c r="F19" s="126"/>
      <c r="G19" s="182"/>
      <c r="H19" s="182"/>
      <c r="I19" s="126"/>
      <c r="J19" s="126"/>
      <c r="K19" s="64" t="str">
        <f t="shared" ref="K19:K20" si="0">IFERROR((ABS((G19/E19)-1)*100),"%")</f>
        <v>%</v>
      </c>
    </row>
    <row r="20" spans="2:13" ht="15" customHeight="1" x14ac:dyDescent="0.25">
      <c r="B20" s="183"/>
      <c r="C20" s="184"/>
      <c r="D20" s="184"/>
      <c r="E20" s="126"/>
      <c r="F20" s="126"/>
      <c r="G20" s="182"/>
      <c r="H20" s="182"/>
      <c r="I20" s="126"/>
      <c r="J20" s="126"/>
      <c r="K20" s="64" t="str">
        <f t="shared" si="0"/>
        <v>%</v>
      </c>
    </row>
    <row r="21" spans="2:13" ht="5.0999999999999996" customHeight="1" x14ac:dyDescent="0.25">
      <c r="B21" s="1"/>
      <c r="C21" s="2"/>
      <c r="D21" s="2"/>
      <c r="E21" s="9"/>
      <c r="F21" s="9"/>
      <c r="G21" s="9"/>
      <c r="H21" s="9"/>
      <c r="I21" s="9"/>
      <c r="J21" s="9"/>
      <c r="K21" s="18"/>
    </row>
    <row r="22" spans="2:13" ht="15" customHeight="1" x14ac:dyDescent="0.25">
      <c r="B22" s="197" t="s">
        <v>18</v>
      </c>
      <c r="C22" s="198"/>
      <c r="D22" s="198"/>
      <c r="E22" s="165" t="s">
        <v>12</v>
      </c>
      <c r="F22" s="196"/>
      <c r="G22" s="164" t="s">
        <v>16</v>
      </c>
      <c r="H22" s="164"/>
      <c r="I22" s="164" t="s">
        <v>9</v>
      </c>
      <c r="J22" s="164"/>
      <c r="K22" s="181" t="s">
        <v>10</v>
      </c>
    </row>
    <row r="23" spans="2:13" x14ac:dyDescent="0.25">
      <c r="B23" s="197"/>
      <c r="C23" s="198"/>
      <c r="D23" s="198"/>
      <c r="E23" s="165"/>
      <c r="F23" s="196"/>
      <c r="G23" s="132" t="s">
        <v>14</v>
      </c>
      <c r="H23" s="132" t="s">
        <v>15</v>
      </c>
      <c r="I23" s="132" t="s">
        <v>14</v>
      </c>
      <c r="J23" s="132" t="s">
        <v>15</v>
      </c>
      <c r="K23" s="181"/>
    </row>
    <row r="24" spans="2:13" ht="30" customHeight="1" x14ac:dyDescent="0.25">
      <c r="B24" s="183" t="s">
        <v>24</v>
      </c>
      <c r="C24" s="184"/>
      <c r="D24" s="184"/>
      <c r="E24" s="126"/>
      <c r="F24" s="126"/>
      <c r="G24" s="66" t="str">
        <f>IFERROR(((1-(EXP(11.8571-(3840.7/($E24+273.15))-(216961/($E24+273.15)^2)))/(F$24/760))*(1-(0.000975-(1.426*10^(-5)*$E24)+(6.436*10^(-8)*$E24^2))*(F$24/760)))/((1-(EXP(11.8571-(3840.7/($E24+273.15))-(216961/($E24+273.15)^2))))*(1-(0.000975-(1.426*10^(-5)*$E24)+(6.436*10^(-8)*$E24^2))))*(F$24/760)*(EXP((-139.34411)+((1.575701*10^5)/($E24+273.15))-((6.642308*10^7)/(($E24+273.15)^2))+((1.2438*10^10)/(($E24+273.15)^3))-((8.621949*10^11)/(($E24+273.15)^4)))),"")</f>
        <v/>
      </c>
      <c r="H24" s="51" t="str">
        <f>IF(F24="","",F24/7.6)</f>
        <v/>
      </c>
      <c r="I24" s="136"/>
      <c r="J24" s="136"/>
      <c r="K24" s="68" t="str">
        <f>IFERROR((ABS((I24/G24)-1)*100),"%")</f>
        <v>%</v>
      </c>
      <c r="M24" s="14"/>
    </row>
    <row r="25" spans="2:13" ht="5.0999999999999996" customHeight="1" x14ac:dyDescent="0.25">
      <c r="B25" s="1"/>
      <c r="C25" s="2"/>
      <c r="D25" s="2"/>
      <c r="E25" s="9"/>
      <c r="F25" s="9"/>
      <c r="G25" s="9"/>
      <c r="H25" s="9"/>
      <c r="I25" s="9"/>
      <c r="J25" s="9"/>
      <c r="K25" s="18"/>
    </row>
    <row r="26" spans="2:13" ht="30" customHeight="1" x14ac:dyDescent="0.25">
      <c r="B26" s="185" t="s">
        <v>6</v>
      </c>
      <c r="C26" s="186"/>
      <c r="D26" s="186"/>
      <c r="E26" s="186"/>
      <c r="F26" s="187" t="s">
        <v>25</v>
      </c>
      <c r="G26" s="187"/>
      <c r="H26" s="127" t="s">
        <v>8</v>
      </c>
      <c r="I26" s="165" t="s">
        <v>9</v>
      </c>
      <c r="J26" s="165"/>
      <c r="K26" s="133" t="s">
        <v>10</v>
      </c>
    </row>
    <row r="27" spans="2:13" ht="15" customHeight="1" x14ac:dyDescent="0.25">
      <c r="B27" s="183" t="s">
        <v>20</v>
      </c>
      <c r="C27" s="184"/>
      <c r="D27" s="184"/>
      <c r="E27" s="184"/>
      <c r="F27" s="193"/>
      <c r="G27" s="193"/>
      <c r="H27" s="136"/>
      <c r="I27" s="182"/>
      <c r="J27" s="182"/>
      <c r="K27" s="64" t="str">
        <f>IFERROR((ABS((I27/H27)-1)*100),"%")</f>
        <v>%</v>
      </c>
    </row>
    <row r="28" spans="2:13" ht="15.75" thickBot="1" x14ac:dyDescent="0.3">
      <c r="B28" s="242"/>
      <c r="C28" s="243"/>
      <c r="D28" s="243"/>
      <c r="E28" s="243"/>
      <c r="F28" s="194"/>
      <c r="G28" s="194"/>
      <c r="H28" s="130"/>
      <c r="I28" s="192"/>
      <c r="J28" s="192"/>
      <c r="K28" s="65" t="str">
        <f>IFERROR((ABS((I28/H28)-1)*100),"%")</f>
        <v>%</v>
      </c>
    </row>
    <row r="29" spans="2:13" ht="5.0999999999999996" customHeight="1" thickBot="1" x14ac:dyDescent="0.3">
      <c r="B29" s="3"/>
      <c r="C29" s="3"/>
      <c r="D29" s="3"/>
      <c r="E29" s="188"/>
      <c r="F29" s="188"/>
      <c r="G29" s="4"/>
      <c r="H29" s="188"/>
      <c r="I29" s="188"/>
      <c r="J29" s="128"/>
    </row>
    <row r="30" spans="2:13" x14ac:dyDescent="0.25">
      <c r="B30" s="30" t="s">
        <v>67</v>
      </c>
      <c r="C30" s="31"/>
      <c r="D30" s="161">
        <v>2</v>
      </c>
      <c r="E30" s="161"/>
      <c r="F30" s="31"/>
      <c r="G30" s="31"/>
      <c r="H30" s="32" t="s">
        <v>68</v>
      </c>
      <c r="I30" s="162"/>
      <c r="J30" s="162"/>
      <c r="K30" s="163"/>
    </row>
    <row r="31" spans="2:13" x14ac:dyDescent="0.25">
      <c r="B31" s="189" t="s">
        <v>2</v>
      </c>
      <c r="C31" s="190"/>
      <c r="D31" s="191"/>
      <c r="E31" s="33" t="s">
        <v>33</v>
      </c>
      <c r="F31" s="34" t="s">
        <v>34</v>
      </c>
      <c r="G31" s="190" t="s">
        <v>32</v>
      </c>
      <c r="H31" s="190"/>
      <c r="I31" s="190"/>
      <c r="J31" s="190"/>
      <c r="K31" s="195"/>
    </row>
    <row r="32" spans="2:13" x14ac:dyDescent="0.25">
      <c r="B32" s="199" t="s">
        <v>3</v>
      </c>
      <c r="C32" s="200"/>
      <c r="D32" s="201"/>
      <c r="E32" s="38">
        <v>2</v>
      </c>
      <c r="F32" s="38">
        <v>2</v>
      </c>
      <c r="G32" s="151"/>
      <c r="H32" s="152"/>
      <c r="I32" s="49"/>
      <c r="J32" s="154"/>
      <c r="K32" s="158"/>
    </row>
    <row r="33" spans="2:11" x14ac:dyDescent="0.25">
      <c r="B33" s="199" t="s">
        <v>4</v>
      </c>
      <c r="C33" s="200">
        <v>1</v>
      </c>
      <c r="D33" s="201"/>
      <c r="E33" s="38">
        <v>2</v>
      </c>
      <c r="F33" s="38">
        <v>2</v>
      </c>
      <c r="G33" s="153"/>
      <c r="H33" s="154"/>
      <c r="I33" s="77"/>
      <c r="J33" s="154"/>
      <c r="K33" s="158"/>
    </row>
    <row r="34" spans="2:11" x14ac:dyDescent="0.25">
      <c r="B34" s="199" t="s">
        <v>5</v>
      </c>
      <c r="C34" s="200"/>
      <c r="D34" s="201"/>
      <c r="E34" s="38">
        <v>2</v>
      </c>
      <c r="F34" s="38">
        <v>2</v>
      </c>
      <c r="G34" s="153"/>
      <c r="H34" s="154"/>
      <c r="I34" s="135"/>
      <c r="J34" s="154"/>
      <c r="K34" s="158"/>
    </row>
    <row r="35" spans="2:11" x14ac:dyDescent="0.25">
      <c r="B35" s="199" t="s">
        <v>23</v>
      </c>
      <c r="C35" s="200"/>
      <c r="D35" s="201"/>
      <c r="E35" s="38">
        <v>2</v>
      </c>
      <c r="F35" s="38">
        <v>2</v>
      </c>
      <c r="G35" s="153"/>
      <c r="H35" s="154"/>
      <c r="I35" s="135"/>
      <c r="J35" s="154"/>
      <c r="K35" s="158"/>
    </row>
    <row r="36" spans="2:11" x14ac:dyDescent="0.25">
      <c r="B36" s="199" t="s">
        <v>6</v>
      </c>
      <c r="C36" s="200"/>
      <c r="D36" s="201"/>
      <c r="E36" s="38">
        <v>2</v>
      </c>
      <c r="F36" s="38">
        <v>2</v>
      </c>
      <c r="G36" s="153"/>
      <c r="H36" s="154"/>
      <c r="I36" s="134"/>
      <c r="J36" s="154"/>
      <c r="K36" s="158"/>
    </row>
    <row r="37" spans="2:11" ht="15.75" thickBot="1" x14ac:dyDescent="0.3">
      <c r="B37" s="52" t="s">
        <v>62</v>
      </c>
      <c r="C37" s="238"/>
      <c r="D37" s="239"/>
      <c r="E37" s="53">
        <v>2</v>
      </c>
      <c r="F37" s="53">
        <v>2</v>
      </c>
      <c r="G37" s="155"/>
      <c r="H37" s="156"/>
      <c r="I37" s="54"/>
      <c r="J37" s="156"/>
      <c r="K37" s="265"/>
    </row>
    <row r="38" spans="2:11" ht="15.75" thickBot="1" x14ac:dyDescent="0.3">
      <c r="B38" s="36" t="s">
        <v>69</v>
      </c>
      <c r="C38" s="37"/>
      <c r="D38" s="39">
        <v>2</v>
      </c>
      <c r="E38" s="39"/>
      <c r="F38" s="99"/>
      <c r="G38" s="122"/>
      <c r="H38" s="99" t="s">
        <v>61</v>
      </c>
      <c r="I38" s="100"/>
      <c r="J38" s="100"/>
      <c r="K38" s="101"/>
    </row>
    <row r="39" spans="2:11" ht="5.0999999999999996" customHeight="1" thickBot="1" x14ac:dyDescent="0.3">
      <c r="G39" s="137"/>
    </row>
    <row r="40" spans="2:11" x14ac:dyDescent="0.25">
      <c r="B40" s="235" t="s">
        <v>21</v>
      </c>
      <c r="C40" s="236"/>
      <c r="D40" s="236"/>
      <c r="E40" s="236"/>
      <c r="F40" s="236"/>
      <c r="G40" s="236"/>
      <c r="H40" s="236"/>
      <c r="I40" s="236"/>
      <c r="J40" s="236"/>
      <c r="K40" s="237"/>
    </row>
    <row r="41" spans="2:11" x14ac:dyDescent="0.25">
      <c r="B41" s="226"/>
      <c r="C41" s="227"/>
      <c r="D41" s="227"/>
      <c r="E41" s="227"/>
      <c r="F41" s="227"/>
      <c r="G41" s="227"/>
      <c r="H41" s="227"/>
      <c r="I41" s="227"/>
      <c r="J41" s="227"/>
      <c r="K41" s="228"/>
    </row>
    <row r="42" spans="2:11" x14ac:dyDescent="0.25">
      <c r="B42" s="229"/>
      <c r="C42" s="230"/>
      <c r="D42" s="230"/>
      <c r="E42" s="230"/>
      <c r="F42" s="230"/>
      <c r="G42" s="230"/>
      <c r="H42" s="230"/>
      <c r="I42" s="230"/>
      <c r="J42" s="230"/>
      <c r="K42" s="231"/>
    </row>
    <row r="43" spans="2:11" x14ac:dyDescent="0.25">
      <c r="B43" s="229"/>
      <c r="C43" s="230"/>
      <c r="D43" s="230"/>
      <c r="E43" s="230"/>
      <c r="F43" s="230"/>
      <c r="G43" s="230"/>
      <c r="H43" s="230"/>
      <c r="I43" s="230"/>
      <c r="J43" s="230"/>
      <c r="K43" s="231"/>
    </row>
    <row r="44" spans="2:11" ht="15.75" thickBot="1" x14ac:dyDescent="0.3">
      <c r="B44" s="232"/>
      <c r="C44" s="233"/>
      <c r="D44" s="233"/>
      <c r="E44" s="233"/>
      <c r="F44" s="233"/>
      <c r="G44" s="233"/>
      <c r="H44" s="233"/>
      <c r="I44" s="233"/>
      <c r="J44" s="233"/>
      <c r="K44" s="234"/>
    </row>
    <row r="45" spans="2:11" ht="5.0999999999999996" customHeight="1" thickBot="1" x14ac:dyDescent="0.3"/>
    <row r="46" spans="2:11" ht="15.75" customHeight="1" x14ac:dyDescent="0.25">
      <c r="B46" s="42" t="s">
        <v>128</v>
      </c>
      <c r="C46" s="43"/>
      <c r="D46" s="43"/>
      <c r="E46" s="43"/>
      <c r="F46" s="43"/>
      <c r="G46" s="43"/>
      <c r="H46" s="72" t="s">
        <v>1</v>
      </c>
      <c r="I46" s="74"/>
      <c r="J46" s="29" t="s">
        <v>63</v>
      </c>
      <c r="K46" s="110"/>
    </row>
    <row r="47" spans="2:11" ht="15.75" customHeight="1" x14ac:dyDescent="0.25">
      <c r="B47" s="206" t="s">
        <v>2</v>
      </c>
      <c r="C47" s="207"/>
      <c r="D47" s="207"/>
      <c r="E47" s="125" t="s">
        <v>29</v>
      </c>
      <c r="F47" s="125" t="s">
        <v>30</v>
      </c>
      <c r="G47" s="125" t="s">
        <v>10</v>
      </c>
      <c r="H47" s="223" t="s">
        <v>21</v>
      </c>
      <c r="I47" s="264"/>
      <c r="J47" s="224"/>
      <c r="K47" s="225"/>
    </row>
    <row r="48" spans="2:11" ht="15.75" customHeight="1" x14ac:dyDescent="0.25">
      <c r="B48" s="48" t="s">
        <v>31</v>
      </c>
      <c r="C48" s="47"/>
      <c r="D48" s="47"/>
      <c r="E48" s="19"/>
      <c r="F48" s="19"/>
      <c r="G48" s="125"/>
      <c r="H48" s="214"/>
      <c r="I48" s="215"/>
      <c r="J48" s="215"/>
      <c r="K48" s="216"/>
    </row>
    <row r="49" spans="2:11" ht="15.75" customHeight="1" x14ac:dyDescent="0.25">
      <c r="B49" s="203" t="s">
        <v>3</v>
      </c>
      <c r="C49" s="204"/>
      <c r="D49" s="205"/>
      <c r="E49" s="45"/>
      <c r="F49" s="45"/>
      <c r="G49" s="46" t="str">
        <f>IFERROR(IF(E49="","%",IF(F49="","%",(ABS((F49/E49)-1)*100))),"%")</f>
        <v>%</v>
      </c>
      <c r="H49" s="217"/>
      <c r="I49" s="218"/>
      <c r="J49" s="218"/>
      <c r="K49" s="219"/>
    </row>
    <row r="50" spans="2:11" ht="15.75" customHeight="1" x14ac:dyDescent="0.25">
      <c r="B50" s="208" t="s">
        <v>4</v>
      </c>
      <c r="C50" s="209"/>
      <c r="D50" s="210"/>
      <c r="E50" s="45"/>
      <c r="F50" s="45"/>
      <c r="G50" s="46" t="str">
        <f t="shared" ref="G50:G54" si="1">IFERROR(IF(E50="","%",IF(F50="","%",(ABS((F50/E50)-1)*100))),"%")</f>
        <v>%</v>
      </c>
      <c r="H50" s="217"/>
      <c r="I50" s="218"/>
      <c r="J50" s="218"/>
      <c r="K50" s="219"/>
    </row>
    <row r="51" spans="2:11" ht="15.75" customHeight="1" x14ac:dyDescent="0.25">
      <c r="B51" s="208" t="s">
        <v>5</v>
      </c>
      <c r="C51" s="209"/>
      <c r="D51" s="210"/>
      <c r="E51" s="45"/>
      <c r="F51" s="45"/>
      <c r="G51" s="46" t="str">
        <f t="shared" si="1"/>
        <v>%</v>
      </c>
      <c r="H51" s="217"/>
      <c r="I51" s="218"/>
      <c r="J51" s="218"/>
      <c r="K51" s="219"/>
    </row>
    <row r="52" spans="2:11" ht="15.75" customHeight="1" x14ac:dyDescent="0.25">
      <c r="B52" s="208" t="s">
        <v>23</v>
      </c>
      <c r="C52" s="209"/>
      <c r="D52" s="210"/>
      <c r="E52" s="45"/>
      <c r="F52" s="45"/>
      <c r="G52" s="46" t="str">
        <f t="shared" si="1"/>
        <v>%</v>
      </c>
      <c r="H52" s="217"/>
      <c r="I52" s="218"/>
      <c r="J52" s="218"/>
      <c r="K52" s="219"/>
    </row>
    <row r="53" spans="2:11" ht="15.75" customHeight="1" x14ac:dyDescent="0.25">
      <c r="B53" s="208" t="s">
        <v>6</v>
      </c>
      <c r="C53" s="209"/>
      <c r="D53" s="210"/>
      <c r="E53" s="45"/>
      <c r="F53" s="45"/>
      <c r="G53" s="46" t="str">
        <f t="shared" si="1"/>
        <v>%</v>
      </c>
      <c r="H53" s="217"/>
      <c r="I53" s="218"/>
      <c r="J53" s="218"/>
      <c r="K53" s="219"/>
    </row>
    <row r="54" spans="2:11" ht="15.75" customHeight="1" thickBot="1" x14ac:dyDescent="0.3">
      <c r="B54" s="24" t="s">
        <v>62</v>
      </c>
      <c r="C54" s="240"/>
      <c r="D54" s="241"/>
      <c r="E54" s="73"/>
      <c r="F54" s="73"/>
      <c r="G54" s="25" t="str">
        <f t="shared" si="1"/>
        <v>%</v>
      </c>
      <c r="H54" s="220"/>
      <c r="I54" s="221"/>
      <c r="J54" s="221"/>
      <c r="K54" s="222"/>
    </row>
    <row r="55" spans="2:11" ht="15.75" customHeight="1" thickTop="1" thickBot="1" x14ac:dyDescent="0.3">
      <c r="B55" s="57" t="s">
        <v>37</v>
      </c>
      <c r="C55" s="58"/>
      <c r="D55" s="59" t="s">
        <v>59</v>
      </c>
      <c r="E55" s="58"/>
      <c r="F55" s="22"/>
      <c r="G55" s="22" t="s">
        <v>60</v>
      </c>
      <c r="H55" s="26"/>
      <c r="I55" s="140"/>
      <c r="J55" s="22" t="s">
        <v>61</v>
      </c>
      <c r="K55" s="27"/>
    </row>
    <row r="56" spans="2:11" x14ac:dyDescent="0.25">
      <c r="B56" s="2"/>
      <c r="C56" s="2"/>
      <c r="D56" s="2"/>
      <c r="E56" s="2"/>
      <c r="F56" s="2"/>
      <c r="G56" s="2"/>
      <c r="H56" s="2"/>
      <c r="I56" s="2"/>
      <c r="J56" s="2"/>
    </row>
    <row r="57" spans="2:11" x14ac:dyDescent="0.25">
      <c r="B57" s="2"/>
      <c r="C57" s="2"/>
      <c r="D57" s="2"/>
      <c r="E57" s="2"/>
      <c r="F57" s="2"/>
      <c r="G57" s="2"/>
      <c r="H57" s="2"/>
      <c r="I57" s="2"/>
      <c r="J57" s="2"/>
    </row>
    <row r="58" spans="2:11" x14ac:dyDescent="0.25">
      <c r="B58" s="2"/>
      <c r="C58" s="2"/>
      <c r="D58" s="2"/>
      <c r="E58" s="2"/>
      <c r="F58" s="2"/>
      <c r="G58" s="2"/>
      <c r="H58" s="2"/>
      <c r="I58" s="2"/>
      <c r="J58" s="2"/>
    </row>
    <row r="59" spans="2:11" ht="15" customHeight="1" x14ac:dyDescent="0.25"/>
    <row r="61" spans="2:11" hidden="1" x14ac:dyDescent="0.25">
      <c r="B61" s="2"/>
      <c r="C61" s="2"/>
      <c r="D61" s="2"/>
      <c r="E61" s="2"/>
      <c r="F61" s="2"/>
      <c r="G61" s="2"/>
      <c r="H61" s="2"/>
      <c r="I61" s="2"/>
      <c r="J61" s="2"/>
    </row>
    <row r="62" spans="2:11" hidden="1" x14ac:dyDescent="0.25">
      <c r="B62" s="2"/>
      <c r="C62" s="2"/>
      <c r="D62" s="2"/>
      <c r="E62" s="2"/>
      <c r="F62" s="2"/>
      <c r="G62" s="2"/>
      <c r="H62" s="2"/>
      <c r="I62" s="2"/>
      <c r="J62" s="2"/>
    </row>
    <row r="63" spans="2:11" hidden="1" x14ac:dyDescent="0.25">
      <c r="B63" s="2"/>
      <c r="C63" s="2"/>
      <c r="D63" s="2"/>
      <c r="E63" s="2"/>
      <c r="F63" s="2"/>
      <c r="G63" s="2"/>
      <c r="H63" s="2"/>
      <c r="I63" s="2"/>
      <c r="J63" s="2"/>
    </row>
    <row r="64" spans="2:11" hidden="1" x14ac:dyDescent="0.25">
      <c r="B64" s="2"/>
      <c r="C64" s="2"/>
      <c r="D64" s="2"/>
      <c r="E64" s="2"/>
      <c r="F64" s="2"/>
      <c r="G64" s="2"/>
      <c r="H64" s="2"/>
      <c r="I64" s="2"/>
      <c r="J64" s="2"/>
    </row>
    <row r="65" spans="2:10" hidden="1" x14ac:dyDescent="0.25">
      <c r="B65" s="2"/>
      <c r="C65" s="2"/>
      <c r="D65" s="2"/>
      <c r="E65" s="2"/>
      <c r="F65" s="2"/>
      <c r="G65" s="2"/>
      <c r="H65" s="2"/>
      <c r="I65" s="2"/>
      <c r="J65" s="2"/>
    </row>
    <row r="66" spans="2:10" hidden="1" x14ac:dyDescent="0.25">
      <c r="B66" s="2"/>
      <c r="C66" s="2"/>
      <c r="D66" s="2"/>
      <c r="E66" s="2"/>
      <c r="F66" s="2"/>
      <c r="G66" s="2"/>
      <c r="H66" s="2"/>
      <c r="I66" s="2"/>
      <c r="J66" s="2"/>
    </row>
    <row r="67" spans="2:10" hidden="1" x14ac:dyDescent="0.25">
      <c r="B67" s="2"/>
      <c r="C67" s="2"/>
      <c r="D67" s="2"/>
      <c r="E67" s="2"/>
      <c r="F67" s="2"/>
      <c r="G67" s="2"/>
      <c r="H67" s="2"/>
      <c r="I67" s="2"/>
      <c r="J67" s="2"/>
    </row>
    <row r="68" spans="2:10" hidden="1" x14ac:dyDescent="0.25">
      <c r="B68" s="2"/>
      <c r="C68" s="2"/>
      <c r="D68" s="2"/>
      <c r="E68" s="2"/>
      <c r="F68" s="2"/>
      <c r="G68" s="2"/>
      <c r="H68" s="2"/>
      <c r="I68" s="2"/>
      <c r="J68" s="2"/>
    </row>
    <row r="69" spans="2:10" hidden="1" x14ac:dyDescent="0.25">
      <c r="B69" s="2"/>
      <c r="C69" s="2"/>
      <c r="D69" s="2"/>
      <c r="E69" s="2"/>
      <c r="F69" s="2"/>
      <c r="G69" s="2"/>
      <c r="H69" s="2"/>
      <c r="I69" s="2"/>
      <c r="J69" s="2"/>
    </row>
    <row r="70" spans="2:10" hidden="1" x14ac:dyDescent="0.25">
      <c r="B70" s="2"/>
      <c r="C70" s="2"/>
      <c r="D70" s="2"/>
      <c r="E70" s="2"/>
      <c r="F70" s="2"/>
      <c r="G70" s="2"/>
      <c r="H70" s="2"/>
      <c r="I70" s="2"/>
      <c r="J70" s="2"/>
    </row>
    <row r="71" spans="2:10" hidden="1" x14ac:dyDescent="0.25">
      <c r="B71" s="2"/>
      <c r="C71" s="2"/>
      <c r="D71" s="2"/>
      <c r="E71" s="2"/>
      <c r="F71" s="2"/>
      <c r="G71" s="2"/>
      <c r="H71" s="2"/>
      <c r="I71" s="2"/>
      <c r="J71" s="2"/>
    </row>
    <row r="72" spans="2:10" hidden="1" x14ac:dyDescent="0.25">
      <c r="B72" s="2"/>
      <c r="C72" s="2"/>
      <c r="D72" s="2"/>
      <c r="E72" s="2"/>
      <c r="F72" s="2"/>
      <c r="G72" s="2"/>
      <c r="H72" s="2"/>
      <c r="I72" s="2"/>
      <c r="J72" s="2"/>
    </row>
    <row r="73" spans="2:10" hidden="1" x14ac:dyDescent="0.25">
      <c r="B73" s="2"/>
      <c r="C73" s="2"/>
      <c r="D73" s="2"/>
      <c r="E73" s="2"/>
      <c r="F73" s="2"/>
      <c r="G73" s="2"/>
      <c r="H73" s="2"/>
      <c r="I73" s="2"/>
      <c r="J73" s="2"/>
    </row>
    <row r="74" spans="2:10" hidden="1" x14ac:dyDescent="0.25">
      <c r="B74" s="2"/>
      <c r="C74" s="2"/>
      <c r="D74" s="2"/>
      <c r="E74" s="2"/>
      <c r="F74" s="2"/>
      <c r="G74" s="2"/>
      <c r="H74" s="2"/>
      <c r="I74" s="2"/>
      <c r="J74" s="2"/>
    </row>
    <row r="75" spans="2:10" hidden="1" x14ac:dyDescent="0.25">
      <c r="B75" s="2"/>
      <c r="C75" s="2"/>
      <c r="D75" s="2"/>
      <c r="E75" s="2"/>
      <c r="F75" s="2"/>
      <c r="G75" s="2"/>
      <c r="H75" s="2"/>
      <c r="I75" s="2"/>
      <c r="J75" s="2"/>
    </row>
    <row r="76" spans="2:10" hidden="1" x14ac:dyDescent="0.25">
      <c r="B76" s="2"/>
      <c r="C76" s="2"/>
      <c r="D76" s="2"/>
      <c r="E76" s="2"/>
      <c r="F76" s="2"/>
      <c r="G76" s="2"/>
      <c r="H76" s="2"/>
      <c r="I76" s="2"/>
      <c r="J76" s="2"/>
    </row>
    <row r="77" spans="2:10" hidden="1" x14ac:dyDescent="0.25">
      <c r="B77" s="2"/>
      <c r="C77" s="2"/>
      <c r="D77" s="2"/>
      <c r="E77" s="2"/>
      <c r="F77" s="2"/>
      <c r="G77" s="2"/>
      <c r="H77" s="2"/>
      <c r="I77" s="2"/>
      <c r="J77" s="2"/>
    </row>
    <row r="78" spans="2:10" hidden="1" x14ac:dyDescent="0.25">
      <c r="B78" s="2"/>
      <c r="C78" s="2"/>
      <c r="D78" s="2"/>
      <c r="E78" s="2"/>
      <c r="F78" s="2"/>
      <c r="G78" s="2"/>
      <c r="H78" s="2"/>
      <c r="I78" s="2"/>
      <c r="J78" s="2"/>
    </row>
    <row r="79" spans="2:10" hidden="1" x14ac:dyDescent="0.25">
      <c r="B79" s="2"/>
      <c r="C79" s="2"/>
      <c r="D79" s="2"/>
      <c r="E79" s="2"/>
      <c r="F79" s="2"/>
      <c r="G79" s="2"/>
      <c r="H79" s="2"/>
      <c r="I79" s="2"/>
      <c r="J79" s="2"/>
    </row>
    <row r="80" spans="2:10" hidden="1" x14ac:dyDescent="0.25">
      <c r="B80" s="2"/>
      <c r="C80" s="2"/>
      <c r="D80" s="2"/>
      <c r="E80" s="2"/>
      <c r="F80" s="2"/>
      <c r="G80" s="2"/>
      <c r="H80" s="2"/>
      <c r="I80" s="2"/>
      <c r="J80" s="2"/>
    </row>
    <row r="81" spans="2:10" hidden="1" x14ac:dyDescent="0.25">
      <c r="B81" s="2"/>
      <c r="C81" s="2"/>
      <c r="D81" s="2"/>
      <c r="E81" s="2"/>
      <c r="F81" s="2"/>
      <c r="G81" s="2"/>
      <c r="H81" s="2"/>
      <c r="I81" s="2"/>
      <c r="J81" s="2"/>
    </row>
    <row r="82" spans="2:10" hidden="1" x14ac:dyDescent="0.25">
      <c r="B82" s="2"/>
      <c r="C82" s="2"/>
      <c r="D82" s="2"/>
      <c r="E82" s="2"/>
      <c r="F82" s="2"/>
      <c r="G82" s="2"/>
      <c r="H82" s="2"/>
      <c r="I82" s="2"/>
      <c r="J82" s="2"/>
    </row>
    <row r="83" spans="2:10" hidden="1" x14ac:dyDescent="0.25">
      <c r="B83" s="2"/>
      <c r="C83" s="2"/>
      <c r="D83" s="2"/>
      <c r="E83" s="2"/>
      <c r="F83" s="2"/>
      <c r="G83" s="2"/>
      <c r="H83" s="2"/>
      <c r="I83" s="2"/>
      <c r="J83" s="2"/>
    </row>
    <row r="84" spans="2:10" hidden="1" x14ac:dyDescent="0.25">
      <c r="B84" s="2"/>
      <c r="C84" s="2"/>
      <c r="D84" s="2"/>
      <c r="E84" s="2"/>
      <c r="F84" s="2"/>
      <c r="G84" s="2"/>
      <c r="H84" s="2"/>
      <c r="I84" s="2"/>
      <c r="J84" s="2"/>
    </row>
    <row r="85" spans="2:10" hidden="1" x14ac:dyDescent="0.25">
      <c r="B85" s="2"/>
      <c r="C85" s="2"/>
      <c r="D85" s="2"/>
      <c r="E85" s="2"/>
      <c r="F85" s="2"/>
      <c r="G85" s="2"/>
      <c r="H85" s="2"/>
      <c r="I85" s="2"/>
      <c r="J85" s="2"/>
    </row>
    <row r="86" spans="2:10" hidden="1" x14ac:dyDescent="0.25">
      <c r="B86" s="2"/>
      <c r="C86" s="2"/>
      <c r="D86" s="2"/>
      <c r="E86" s="2"/>
      <c r="F86" s="2"/>
      <c r="G86" s="2"/>
      <c r="H86" s="2"/>
      <c r="I86" s="2"/>
      <c r="J86" s="2"/>
    </row>
    <row r="87" spans="2:10" hidden="1" x14ac:dyDescent="0.25">
      <c r="B87" s="2"/>
      <c r="C87" s="2"/>
      <c r="D87" s="2"/>
      <c r="E87" s="2"/>
      <c r="F87" s="2"/>
      <c r="G87" s="2"/>
      <c r="H87" s="2"/>
      <c r="I87" s="2"/>
      <c r="J87" s="2"/>
    </row>
    <row r="88" spans="2:10" hidden="1" x14ac:dyDescent="0.25">
      <c r="B88" s="2"/>
      <c r="C88" s="2"/>
      <c r="D88" s="2"/>
      <c r="E88" s="2"/>
      <c r="F88" s="2"/>
      <c r="G88" s="2"/>
      <c r="H88" s="2"/>
      <c r="I88" s="2"/>
      <c r="J88" s="2"/>
    </row>
    <row r="89" spans="2:10" hidden="1" x14ac:dyDescent="0.25">
      <c r="B89" s="2"/>
      <c r="C89" s="2"/>
      <c r="D89" s="2"/>
      <c r="E89" s="2"/>
      <c r="F89" s="2"/>
      <c r="G89" s="2"/>
      <c r="H89" s="2"/>
      <c r="I89" s="2"/>
      <c r="J89" s="2"/>
    </row>
    <row r="90" spans="2:10" hidden="1" x14ac:dyDescent="0.25">
      <c r="B90" s="2"/>
      <c r="C90" s="2"/>
      <c r="D90" s="2"/>
      <c r="E90" s="2"/>
      <c r="F90" s="2"/>
      <c r="G90" s="2"/>
      <c r="H90" s="2"/>
      <c r="I90" s="2"/>
      <c r="J90" s="2"/>
    </row>
    <row r="91" spans="2:10" hidden="1" x14ac:dyDescent="0.25">
      <c r="B91" s="2"/>
      <c r="C91" s="2"/>
      <c r="D91" s="2"/>
      <c r="E91" s="2"/>
      <c r="F91" s="2"/>
      <c r="G91" s="2"/>
      <c r="H91" s="2"/>
      <c r="I91" s="2"/>
      <c r="J91" s="2"/>
    </row>
    <row r="92" spans="2:10" hidden="1" x14ac:dyDescent="0.25">
      <c r="B92" s="2"/>
      <c r="C92" s="2"/>
      <c r="D92" s="2"/>
      <c r="E92" s="2"/>
      <c r="F92" s="2"/>
      <c r="G92" s="2"/>
      <c r="H92" s="2"/>
      <c r="I92" s="2"/>
      <c r="J92" s="2"/>
    </row>
    <row r="93" spans="2:10" hidden="1" x14ac:dyDescent="0.25">
      <c r="B93" s="2"/>
      <c r="C93" s="2"/>
      <c r="D93" s="2"/>
      <c r="E93" s="2"/>
      <c r="F93" s="2"/>
      <c r="G93" s="2"/>
      <c r="H93" s="2"/>
      <c r="I93" s="2"/>
      <c r="J93" s="2"/>
    </row>
    <row r="94" spans="2:10" hidden="1" x14ac:dyDescent="0.25">
      <c r="B94" s="2"/>
      <c r="C94" s="2"/>
      <c r="D94" s="2"/>
      <c r="E94" s="2"/>
      <c r="F94" s="2"/>
      <c r="G94" s="2"/>
      <c r="H94" s="2"/>
      <c r="I94" s="2"/>
      <c r="J94" s="2"/>
    </row>
    <row r="95" spans="2:10" hidden="1" x14ac:dyDescent="0.25">
      <c r="B95" s="2"/>
      <c r="C95" s="2"/>
      <c r="D95" s="2"/>
      <c r="E95" s="2"/>
      <c r="F95" s="2"/>
      <c r="G95" s="2"/>
      <c r="H95" s="2"/>
      <c r="I95" s="2"/>
      <c r="J95" s="2"/>
    </row>
    <row r="96" spans="2:10" hidden="1" x14ac:dyDescent="0.25">
      <c r="B96" s="2"/>
      <c r="C96" s="2"/>
      <c r="D96" s="2"/>
      <c r="E96" s="2"/>
      <c r="F96" s="2"/>
      <c r="G96" s="2"/>
      <c r="H96" s="2"/>
      <c r="I96" s="2"/>
      <c r="J96" s="2"/>
    </row>
    <row r="97" spans="2:10" hidden="1" x14ac:dyDescent="0.25">
      <c r="B97" s="2"/>
      <c r="C97" s="2"/>
      <c r="D97" s="2"/>
      <c r="E97" s="2"/>
      <c r="F97" s="2"/>
      <c r="G97" s="2"/>
      <c r="H97" s="2"/>
      <c r="I97" s="2"/>
      <c r="J97" s="2"/>
    </row>
  </sheetData>
  <sheetProtection algorithmName="SHA-512" hashValue="Eak6OF0OYuW0b48g5jo6sITV0mQg9YaMJ6SsZGlQKW7eqWhAt4pmUUua7ciSGzLVfzk6gD9dqK2GQrUnItu3Vg==" saltValue="EcMuKzStm+0Gb2qGfrECWQ==" spinCount="100000" sheet="1" objects="1" scenarios="1" selectLockedCells="1"/>
  <mergeCells count="73">
    <mergeCell ref="B40:K40"/>
    <mergeCell ref="B41:K44"/>
    <mergeCell ref="B36:D36"/>
    <mergeCell ref="G36:H36"/>
    <mergeCell ref="J36:K36"/>
    <mergeCell ref="C37:D37"/>
    <mergeCell ref="G37:H37"/>
    <mergeCell ref="J37:K37"/>
    <mergeCell ref="B34:D34"/>
    <mergeCell ref="G34:H34"/>
    <mergeCell ref="J34:K34"/>
    <mergeCell ref="B35:D35"/>
    <mergeCell ref="G35:H35"/>
    <mergeCell ref="J35:K35"/>
    <mergeCell ref="G32:H32"/>
    <mergeCell ref="J32:K32"/>
    <mergeCell ref="B33:D33"/>
    <mergeCell ref="G33:H33"/>
    <mergeCell ref="J33:K33"/>
    <mergeCell ref="E29:F29"/>
    <mergeCell ref="H29:I29"/>
    <mergeCell ref="B47:D47"/>
    <mergeCell ref="H47:K47"/>
    <mergeCell ref="H48:K54"/>
    <mergeCell ref="B49:D49"/>
    <mergeCell ref="B50:D50"/>
    <mergeCell ref="B51:D51"/>
    <mergeCell ref="B52:D52"/>
    <mergeCell ref="B53:D53"/>
    <mergeCell ref="C54:D54"/>
    <mergeCell ref="D30:E30"/>
    <mergeCell ref="I30:K30"/>
    <mergeCell ref="B31:D31"/>
    <mergeCell ref="G31:K31"/>
    <mergeCell ref="B32:D32"/>
    <mergeCell ref="B24:D24"/>
    <mergeCell ref="B26:E26"/>
    <mergeCell ref="F26:G26"/>
    <mergeCell ref="I26:J26"/>
    <mergeCell ref="B27:E28"/>
    <mergeCell ref="F27:G27"/>
    <mergeCell ref="I27:J27"/>
    <mergeCell ref="F28:G28"/>
    <mergeCell ref="I28:J28"/>
    <mergeCell ref="K22:K23"/>
    <mergeCell ref="K13:K14"/>
    <mergeCell ref="B15:E15"/>
    <mergeCell ref="G15:H15"/>
    <mergeCell ref="B17:D17"/>
    <mergeCell ref="G17:H17"/>
    <mergeCell ref="B18:D20"/>
    <mergeCell ref="G18:H18"/>
    <mergeCell ref="G19:H19"/>
    <mergeCell ref="G20:H20"/>
    <mergeCell ref="B22:D23"/>
    <mergeCell ref="E22:E23"/>
    <mergeCell ref="F22:F23"/>
    <mergeCell ref="G22:H22"/>
    <mergeCell ref="I22:J22"/>
    <mergeCell ref="B11:E11"/>
    <mergeCell ref="F11:H11"/>
    <mergeCell ref="I11:J11"/>
    <mergeCell ref="B13:E14"/>
    <mergeCell ref="F13:F14"/>
    <mergeCell ref="G13:H14"/>
    <mergeCell ref="I13:I14"/>
    <mergeCell ref="J13:J14"/>
    <mergeCell ref="B4:K4"/>
    <mergeCell ref="E6:F6"/>
    <mergeCell ref="B9:G9"/>
    <mergeCell ref="B10:E10"/>
    <mergeCell ref="F10:H10"/>
    <mergeCell ref="I10:J10"/>
  </mergeCells>
  <conditionalFormatting sqref="G53">
    <cfRule type="cellIs" dxfId="23" priority="24" operator="notBetween">
      <formula>0</formula>
      <formula>10</formula>
    </cfRule>
    <cfRule type="cellIs" dxfId="22" priority="25" operator="between">
      <formula>0</formula>
      <formula>10</formula>
    </cfRule>
  </conditionalFormatting>
  <conditionalFormatting sqref="G49:G54">
    <cfRule type="cellIs" dxfId="21" priority="23" operator="equal">
      <formula>"%"</formula>
    </cfRule>
  </conditionalFormatting>
  <conditionalFormatting sqref="G49:G54">
    <cfRule type="cellIs" dxfId="20" priority="26" operator="between">
      <formula>0</formula>
      <formula>5</formula>
    </cfRule>
    <cfRule type="cellIs" dxfId="19" priority="27" operator="notBetween">
      <formula>0</formula>
      <formula>5</formula>
    </cfRule>
  </conditionalFormatting>
  <conditionalFormatting sqref="I55">
    <cfRule type="iconSet" priority="22">
      <iconSet iconSet="3Symbols2">
        <cfvo type="percent" val="0"/>
        <cfvo type="num" val="4.5"/>
        <cfvo type="num" val="5.2"/>
      </iconSet>
    </cfRule>
  </conditionalFormatting>
  <conditionalFormatting sqref="K11">
    <cfRule type="cellIs" dxfId="18" priority="17" operator="equal">
      <formula>"%"</formula>
    </cfRule>
  </conditionalFormatting>
  <conditionalFormatting sqref="K11">
    <cfRule type="cellIs" dxfId="17" priority="18" operator="between">
      <formula>0</formula>
      <formula>5</formula>
    </cfRule>
    <cfRule type="cellIs" dxfId="16" priority="19" operator="notBetween">
      <formula>0</formula>
      <formula>5</formula>
    </cfRule>
  </conditionalFormatting>
  <conditionalFormatting sqref="K15">
    <cfRule type="cellIs" dxfId="15" priority="14" operator="equal">
      <formula>"%"</formula>
    </cfRule>
  </conditionalFormatting>
  <conditionalFormatting sqref="K15">
    <cfRule type="cellIs" dxfId="14" priority="15" operator="between">
      <formula>0</formula>
      <formula>5</formula>
    </cfRule>
    <cfRule type="cellIs" dxfId="13" priority="16" operator="notBetween">
      <formula>0</formula>
      <formula>5</formula>
    </cfRule>
  </conditionalFormatting>
  <conditionalFormatting sqref="K18:K20">
    <cfRule type="cellIs" dxfId="12" priority="11" operator="equal">
      <formula>"%"</formula>
    </cfRule>
  </conditionalFormatting>
  <conditionalFormatting sqref="K18:K20">
    <cfRule type="cellIs" dxfId="11" priority="12" operator="between">
      <formula>0</formula>
      <formula>5</formula>
    </cfRule>
    <cfRule type="cellIs" dxfId="10" priority="13" operator="notBetween">
      <formula>0</formula>
      <formula>5</formula>
    </cfRule>
  </conditionalFormatting>
  <conditionalFormatting sqref="K24">
    <cfRule type="cellIs" dxfId="9" priority="8" operator="equal">
      <formula>"%"</formula>
    </cfRule>
  </conditionalFormatting>
  <conditionalFormatting sqref="K24">
    <cfRule type="cellIs" dxfId="8" priority="9" operator="between">
      <formula>0</formula>
      <formula>5</formula>
    </cfRule>
    <cfRule type="cellIs" dxfId="7" priority="10" operator="notBetween">
      <formula>0</formula>
      <formula>5</formula>
    </cfRule>
  </conditionalFormatting>
  <conditionalFormatting sqref="K27:K28">
    <cfRule type="cellIs" dxfId="6" priority="5" operator="equal">
      <formula>"%"</formula>
    </cfRule>
  </conditionalFormatting>
  <conditionalFormatting sqref="K27:K28">
    <cfRule type="cellIs" dxfId="5" priority="6" operator="between">
      <formula>0</formula>
      <formula>10</formula>
    </cfRule>
    <cfRule type="cellIs" dxfId="4" priority="7" operator="notBetween">
      <formula>0</formula>
      <formula>10</formula>
    </cfRule>
  </conditionalFormatting>
  <conditionalFormatting sqref="J15">
    <cfRule type="cellIs" dxfId="3" priority="4" operator="greaterThanOrEqual">
      <formula>3</formula>
    </cfRule>
  </conditionalFormatting>
  <conditionalFormatting sqref="G38">
    <cfRule type="expression" dxfId="2" priority="2">
      <formula>$D$38=2</formula>
    </cfRule>
    <cfRule type="expression" dxfId="1" priority="3">
      <formula>$D$38=1</formula>
    </cfRule>
  </conditionalFormatting>
  <conditionalFormatting sqref="I30:K30">
    <cfRule type="expression" dxfId="0" priority="1">
      <formula>"$D$41=2"</formula>
    </cfRule>
  </conditionalFormatting>
  <dataValidations count="7">
    <dataValidation type="decimal" errorStyle="warning" operator="lessThan" allowBlank="1" showInputMessage="1" showErrorMessage="1" errorTitle="AVISO" error="Leitura no ar maior do que o aceitável. _x000a__x000a_Verifique se o sensor está limpo e seco. Se sim, considere trocá-lo. " sqref="J15" xr:uid="{00000000-0002-0000-0500-000000000000}">
      <formula1>3</formula1>
    </dataValidation>
    <dataValidation type="decimal" allowBlank="1" showInputMessage="1" showErrorMessage="1" errorTitle="ERRO" error="Por favor, digite um valor entre 0 e 760 mmHg." sqref="F24" xr:uid="{00000000-0002-0000-0500-000001000000}">
      <formula1>0</formula1>
      <formula2>760</formula2>
    </dataValidation>
    <dataValidation type="date" allowBlank="1" showInputMessage="1" showErrorMessage="1" errorTitle="Data Inválida" error="Por favor, insira uma data válida." sqref="F27:G28" xr:uid="{00000000-0002-0000-0500-000002000000}">
      <formula1>1</formula1>
      <formula2>TODAY()</formula2>
    </dataValidation>
    <dataValidation type="time" allowBlank="1" showInputMessage="1" showErrorMessage="1" errorTitle="Hora Inválida" error="Por favor, digite uma hora válida." sqref="K46 K9" xr:uid="{00000000-0002-0000-0500-000003000000}">
      <formula1>0</formula1>
      <formula2>0.999305555555556</formula2>
    </dataValidation>
    <dataValidation type="decimal" errorStyle="warning" operator="greaterThanOrEqual" allowBlank="1" showErrorMessage="1" errorTitle="Valor " error="Considere trocar a bateria da sonda!" sqref="I55 G38" xr:uid="{00000000-0002-0000-0500-000004000000}">
      <formula1>4.7</formula1>
    </dataValidation>
    <dataValidation type="time" allowBlank="1" showInputMessage="1" showErrorMessage="1" errorTitle="Hora Incorreta" error="Por favor, digite uma hora válida._x000a_" sqref="I7" xr:uid="{00000000-0002-0000-0500-000005000000}">
      <formula1>0</formula1>
      <formula2>0.999305555555556</formula2>
    </dataValidation>
    <dataValidation type="date" allowBlank="1" showInputMessage="1" showErrorMessage="1" errorTitle="Data Incorreta" error="Verifique a data inserida! " prompt="Por favor, digite a data de hoje ou anterior." sqref="G7 I46" xr:uid="{00000000-0002-0000-0500-000006000000}">
      <formula1>32874</formula1>
      <formula2>TODAY()</formula2>
    </dataValidation>
  </dataValidations>
  <pageMargins left="0.62992125984251968" right="0.23622047244094491" top="0.7480314960629921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Group Box 1">
              <controlPr defaultSize="0" autoFill="0" autoPict="0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Group Box 2">
              <controlPr defaultSize="0" autoFill="0" autoPict="0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Group Box 3">
              <controlPr defaultSize="0" autoFill="0" autoPict="0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Group Box 4">
              <controlPr defaultSize="0" autoFill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Group Box 5">
              <controlPr defaultSize="0" autoFill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Group Box 6">
              <controlPr defaultSize="0" autoFill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0" name="Group Box 7">
              <controlPr defaultSize="0" autoFill="0" autoPict="0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Group Box 8">
              <controlPr defaultSize="0" autoFill="0" autoPict="0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2" name="Group Box 9">
              <controlPr defaultSize="0" autoFill="0" autoPict="0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3" name="Group Box 10">
              <controlPr defaultSize="0" autoFill="0" autoPict="0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4" name="Group Box 11">
              <controlPr defaultSize="0" autoFill="0" autoPict="0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5" name="Option Button 12">
              <controlPr defaultSize="0" autoFill="0" autoLine="0" autoPict="0" altText="S">
                <anchor moveWithCells="1">
                  <from>
                    <xdr:col>4</xdr:col>
                    <xdr:colOff>19050</xdr:colOff>
                    <xdr:row>32</xdr:row>
                    <xdr:rowOff>0</xdr:rowOff>
                  </from>
                  <to>
                    <xdr:col>4</xdr:col>
                    <xdr:colOff>352425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6" name="Option Button 13">
              <controlPr defaultSize="0" autoFill="0" autoLine="0" autoPict="0">
                <anchor moveWithCells="1">
                  <from>
                    <xdr:col>4</xdr:col>
                    <xdr:colOff>371475</xdr:colOff>
                    <xdr:row>32</xdr:row>
                    <xdr:rowOff>9525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7" name="Option Button 14">
              <controlPr defaultSize="0" autoFill="0" autoLine="0" autoPict="0" altText="S">
                <anchor moveWithCells="1">
                  <from>
                    <xdr:col>4</xdr:col>
                    <xdr:colOff>19050</xdr:colOff>
                    <xdr:row>33</xdr:row>
                    <xdr:rowOff>0</xdr:rowOff>
                  </from>
                  <to>
                    <xdr:col>4</xdr:col>
                    <xdr:colOff>352425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8" name="Option Button 15">
              <controlPr defaultSize="0" autoFill="0" autoLine="0" autoPict="0">
                <anchor moveWithCells="1">
                  <from>
                    <xdr:col>4</xdr:col>
                    <xdr:colOff>371475</xdr:colOff>
                    <xdr:row>33</xdr:row>
                    <xdr:rowOff>0</xdr:rowOff>
                  </from>
                  <to>
                    <xdr:col>5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9" name="Option Button 16">
              <controlPr defaultSize="0" autoFill="0" autoLine="0" autoPict="0" altText="S">
                <anchor moveWithCells="1">
                  <from>
                    <xdr:col>4</xdr:col>
                    <xdr:colOff>19050</xdr:colOff>
                    <xdr:row>34</xdr:row>
                    <xdr:rowOff>0</xdr:rowOff>
                  </from>
                  <to>
                    <xdr:col>4</xdr:col>
                    <xdr:colOff>352425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0" name="Option Button 17">
              <controlPr defaultSize="0" autoFill="0" autoLine="0" autoPict="0">
                <anchor moveWithCells="1">
                  <from>
                    <xdr:col>4</xdr:col>
                    <xdr:colOff>371475</xdr:colOff>
                    <xdr:row>34</xdr:row>
                    <xdr:rowOff>0</xdr:rowOff>
                  </from>
                  <to>
                    <xdr:col>5</xdr:col>
                    <xdr:colOff>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1" name="Option Button 18">
              <controlPr defaultSize="0" autoFill="0" autoLine="0" autoPict="0" altText="S">
                <anchor moveWithCells="1">
                  <from>
                    <xdr:col>4</xdr:col>
                    <xdr:colOff>19050</xdr:colOff>
                    <xdr:row>35</xdr:row>
                    <xdr:rowOff>0</xdr:rowOff>
                  </from>
                  <to>
                    <xdr:col>4</xdr:col>
                    <xdr:colOff>352425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22" name="Option Button 19">
              <controlPr defaultSize="0" autoFill="0" autoLine="0" autoPict="0">
                <anchor moveWithCells="1">
                  <from>
                    <xdr:col>4</xdr:col>
                    <xdr:colOff>371475</xdr:colOff>
                    <xdr:row>35</xdr:row>
                    <xdr:rowOff>0</xdr:rowOff>
                  </from>
                  <to>
                    <xdr:col>5</xdr:col>
                    <xdr:colOff>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23" name="Option Button 20">
              <controlPr defaultSize="0" autoFill="0" autoLine="0" autoPict="0" altText="S">
                <anchor moveWithCells="1">
                  <from>
                    <xdr:col>4</xdr:col>
                    <xdr:colOff>19050</xdr:colOff>
                    <xdr:row>36</xdr:row>
                    <xdr:rowOff>0</xdr:rowOff>
                  </from>
                  <to>
                    <xdr:col>4</xdr:col>
                    <xdr:colOff>352425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24" name="Option Button 21">
              <controlPr defaultSize="0" autoFill="0" autoLine="0" autoPict="0">
                <anchor moveWithCells="1">
                  <from>
                    <xdr:col>4</xdr:col>
                    <xdr:colOff>371475</xdr:colOff>
                    <xdr:row>36</xdr:row>
                    <xdr:rowOff>0</xdr:rowOff>
                  </from>
                  <to>
                    <xdr:col>5</xdr:col>
                    <xdr:colOff>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25" name="Option Button 22">
              <controlPr defaultSize="0" autoFill="0" autoLine="0" autoPict="0" altText="S">
                <anchor moveWithCells="1">
                  <from>
                    <xdr:col>5</xdr:col>
                    <xdr:colOff>38100</xdr:colOff>
                    <xdr:row>31</xdr:row>
                    <xdr:rowOff>0</xdr:rowOff>
                  </from>
                  <to>
                    <xdr:col>5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26" name="Option Button 23">
              <controlPr defaultSize="0" autoFill="0" autoLine="0" autoPict="0">
                <anchor moveWithCells="1">
                  <from>
                    <xdr:col>5</xdr:col>
                    <xdr:colOff>371475</xdr:colOff>
                    <xdr:row>31</xdr:row>
                    <xdr:rowOff>0</xdr:rowOff>
                  </from>
                  <to>
                    <xdr:col>5</xdr:col>
                    <xdr:colOff>723900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27" name="Option Button 24">
              <controlPr defaultSize="0" autoFill="0" autoLine="0" autoPict="0" altText="S">
                <anchor moveWithCells="1">
                  <from>
                    <xdr:col>5</xdr:col>
                    <xdr:colOff>38100</xdr:colOff>
                    <xdr:row>32</xdr:row>
                    <xdr:rowOff>0</xdr:rowOff>
                  </from>
                  <to>
                    <xdr:col>5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28" name="Option Button 25">
              <controlPr defaultSize="0" autoFill="0" autoLine="0" autoPict="0">
                <anchor moveWithCells="1">
                  <from>
                    <xdr:col>5</xdr:col>
                    <xdr:colOff>371475</xdr:colOff>
                    <xdr:row>32</xdr:row>
                    <xdr:rowOff>0</xdr:rowOff>
                  </from>
                  <to>
                    <xdr:col>5</xdr:col>
                    <xdr:colOff>723900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29" name="Option Button 26">
              <controlPr defaultSize="0" autoFill="0" autoLine="0" autoPict="0" altText="S">
                <anchor moveWithCells="1">
                  <from>
                    <xdr:col>5</xdr:col>
                    <xdr:colOff>38100</xdr:colOff>
                    <xdr:row>33</xdr:row>
                    <xdr:rowOff>0</xdr:rowOff>
                  </from>
                  <to>
                    <xdr:col>5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30" name="Option Button 27">
              <controlPr defaultSize="0" autoFill="0" autoLine="0" autoPict="0">
                <anchor moveWithCells="1">
                  <from>
                    <xdr:col>5</xdr:col>
                    <xdr:colOff>371475</xdr:colOff>
                    <xdr:row>33</xdr:row>
                    <xdr:rowOff>0</xdr:rowOff>
                  </from>
                  <to>
                    <xdr:col>5</xdr:col>
                    <xdr:colOff>723900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31" name="Group Box 28">
              <controlPr defaultSize="0" autoFill="0" autoPict="0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32" name="Option Button 29">
              <controlPr defaultSize="0" autoFill="0" autoLine="0" autoPict="0" altText="S">
                <anchor moveWithCells="1">
                  <from>
                    <xdr:col>5</xdr:col>
                    <xdr:colOff>38100</xdr:colOff>
                    <xdr:row>34</xdr:row>
                    <xdr:rowOff>0</xdr:rowOff>
                  </from>
                  <to>
                    <xdr:col>5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33" name="Option Button 30">
              <controlPr defaultSize="0" autoFill="0" autoLine="0" autoPict="0">
                <anchor moveWithCells="1">
                  <from>
                    <xdr:col>5</xdr:col>
                    <xdr:colOff>371475</xdr:colOff>
                    <xdr:row>34</xdr:row>
                    <xdr:rowOff>0</xdr:rowOff>
                  </from>
                  <to>
                    <xdr:col>5</xdr:col>
                    <xdr:colOff>723900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34" name="Option Button 31">
              <controlPr defaultSize="0" autoFill="0" autoLine="0" autoPict="0" altText="S">
                <anchor moveWithCells="1">
                  <from>
                    <xdr:col>5</xdr:col>
                    <xdr:colOff>38100</xdr:colOff>
                    <xdr:row>35</xdr:row>
                    <xdr:rowOff>0</xdr:rowOff>
                  </from>
                  <to>
                    <xdr:col>5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35" name="Option Button 32">
              <controlPr defaultSize="0" autoFill="0" autoLine="0" autoPict="0">
                <anchor moveWithCells="1">
                  <from>
                    <xdr:col>5</xdr:col>
                    <xdr:colOff>371475</xdr:colOff>
                    <xdr:row>35</xdr:row>
                    <xdr:rowOff>0</xdr:rowOff>
                  </from>
                  <to>
                    <xdr:col>5</xdr:col>
                    <xdr:colOff>723900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36" name="Option Button 33">
              <controlPr defaultSize="0" autoFill="0" autoLine="0" autoPict="0" altText="S">
                <anchor moveWithCells="1">
                  <from>
                    <xdr:col>5</xdr:col>
                    <xdr:colOff>38100</xdr:colOff>
                    <xdr:row>36</xdr:row>
                    <xdr:rowOff>0</xdr:rowOff>
                  </from>
                  <to>
                    <xdr:col>5</xdr:col>
                    <xdr:colOff>371475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37" name="Option Button 34">
              <controlPr defaultSize="0" autoFill="0" autoLine="0" autoPict="0">
                <anchor moveWithCells="1">
                  <from>
                    <xdr:col>5</xdr:col>
                    <xdr:colOff>371475</xdr:colOff>
                    <xdr:row>36</xdr:row>
                    <xdr:rowOff>0</xdr:rowOff>
                  </from>
                  <to>
                    <xdr:col>5</xdr:col>
                    <xdr:colOff>723900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38" name="Group Box 35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11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39" name="Group Box 36">
              <controlPr defaultSize="0" autoFill="0" autoPict="0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40" name="Option Button 37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57150</xdr:rowOff>
                  </from>
                  <to>
                    <xdr:col>3</xdr:col>
                    <xdr:colOff>361950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41" name="Option Button 38">
              <controlPr defaultSize="0" autoFill="0" autoLine="0" autoPict="0">
                <anchor moveWithCells="1">
                  <from>
                    <xdr:col>4</xdr:col>
                    <xdr:colOff>28575</xdr:colOff>
                    <xdr:row>29</xdr:row>
                    <xdr:rowOff>28575</xdr:rowOff>
                  </from>
                  <to>
                    <xdr:col>4</xdr:col>
                    <xdr:colOff>342900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42" name="Group Box 39">
              <controlPr defaultSize="0" autoFill="0" autoPict="0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43" name="Option Button 40">
              <controlPr defaultSize="0" autoFill="0" autoLine="0" autoPict="0" altText="S">
                <anchor moveWithCells="1">
                  <from>
                    <xdr:col>4</xdr:col>
                    <xdr:colOff>19050</xdr:colOff>
                    <xdr:row>31</xdr:row>
                    <xdr:rowOff>0</xdr:rowOff>
                  </from>
                  <to>
                    <xdr:col>4</xdr:col>
                    <xdr:colOff>352425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44" name="Option Button 41">
              <controlPr defaultSize="0" autoFill="0" autoLine="0" autoPict="0">
                <anchor moveWithCells="1">
                  <from>
                    <xdr:col>4</xdr:col>
                    <xdr:colOff>371475</xdr:colOff>
                    <xdr:row>31</xdr:row>
                    <xdr:rowOff>9525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45" name="Option Button 42">
              <controlPr defaultSize="0" autoFill="0" autoLine="0" autoPict="0">
                <anchor moveWithCells="1">
                  <from>
                    <xdr:col>3</xdr:col>
                    <xdr:colOff>66675</xdr:colOff>
                    <xdr:row>37</xdr:row>
                    <xdr:rowOff>38100</xdr:rowOff>
                  </from>
                  <to>
                    <xdr:col>3</xdr:col>
                    <xdr:colOff>371475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46" name="Option Button 43">
              <controlPr defaultSize="0" autoFill="0" autoLine="0" autoPict="0">
                <anchor moveWithCells="1">
                  <from>
                    <xdr:col>3</xdr:col>
                    <xdr:colOff>504825</xdr:colOff>
                    <xdr:row>37</xdr:row>
                    <xdr:rowOff>38100</xdr:rowOff>
                  </from>
                  <to>
                    <xdr:col>4</xdr:col>
                    <xdr:colOff>266700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47" name="Button 44">
              <controlPr defaultSize="0" print="0" autoFill="0" autoPict="0" macro="[0]!SalvarFichaEdicao">
                <anchor moveWithCells="1" sizeWithCells="1">
                  <from>
                    <xdr:col>10</xdr:col>
                    <xdr:colOff>9525</xdr:colOff>
                    <xdr:row>56</xdr:row>
                    <xdr:rowOff>9525</xdr:rowOff>
                  </from>
                  <to>
                    <xdr:col>10</xdr:col>
                    <xdr:colOff>809625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48" name="Button 45">
              <controlPr defaultSize="0" print="0" autoFill="0" autoPict="0" macro="[0]!BotãoVoltar">
                <anchor moveWithCells="1" sizeWithCells="1">
                  <from>
                    <xdr:col>1</xdr:col>
                    <xdr:colOff>28575</xdr:colOff>
                    <xdr:row>56</xdr:row>
                    <xdr:rowOff>9525</xdr:rowOff>
                  </from>
                  <to>
                    <xdr:col>2</xdr:col>
                    <xdr:colOff>219075</xdr:colOff>
                    <xdr:row>58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="Escolha um dos códigos da lista." xr:uid="{00000000-0002-0000-0500-000007000000}">
          <x14:formula1>
            <xm:f>Listas!$B$3:$B$21</xm:f>
          </x14:formula1>
          <xm:sqref>D6</xm:sqref>
        </x14:dataValidation>
        <x14:dataValidation type="list" allowBlank="1" showInputMessage="1" showErrorMessage="1" error="Escolha um dos nomes da lista." xr:uid="{00000000-0002-0000-0500-000008000000}">
          <x14:formula1>
            <xm:f>Listas!$F$3:$F$11</xm:f>
          </x14:formula1>
          <xm:sqref>C7 E7 C55 E55</xm:sqref>
        </x14:dataValidation>
        <x14:dataValidation type="list" allowBlank="1" showInputMessage="1" showErrorMessage="1" xr:uid="{00000000-0002-0000-0500-000009000000}">
          <x14:formula1>
            <xm:f>Listas!I:I</xm:f>
          </x14:formula1>
          <xm:sqref>F48</xm:sqref>
        </x14:dataValidation>
        <x14:dataValidation type="list" allowBlank="1" showInputMessage="1" showErrorMessage="1" xr:uid="{00000000-0002-0000-0500-00000A000000}">
          <x14:formula1>
            <xm:f>Listas!I:I</xm:f>
          </x14:formula1>
          <xm:sqref>E48</xm:sqref>
        </x14:dataValidation>
        <x14:dataValidation type="list" allowBlank="1" showInputMessage="1" showErrorMessage="1" xr:uid="{00000000-0002-0000-0500-00000B000000}">
          <x14:formula1>
            <xm:f>Listas!I:I</xm:f>
          </x14:formula1>
          <xm:sqref>I30:K30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Início</vt:lpstr>
      <vt:lpstr>Ficha de Visita</vt:lpstr>
      <vt:lpstr>Listas</vt:lpstr>
      <vt:lpstr>Registros</vt:lpstr>
      <vt:lpstr>Arquivos</vt:lpstr>
      <vt:lpstr>Ficha de Visita - Edição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Tania Cristina Holmo M Lomazi</dc:creator>
  <cp:lastModifiedBy>Tânia Cristina H. M. Lomazi</cp:lastModifiedBy>
  <cp:lastPrinted>2019-12-13T17:21:15Z</cp:lastPrinted>
  <dcterms:created xsi:type="dcterms:W3CDTF">2019-07-05T13:12:44Z</dcterms:created>
  <dcterms:modified xsi:type="dcterms:W3CDTF">2021-02-25T04:11:53Z</dcterms:modified>
</cp:coreProperties>
</file>